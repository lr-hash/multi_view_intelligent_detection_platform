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060" firstSheet="1"/>
  </bookViews>
  <sheets>
    <sheet name="3号孔实钻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<sst xmlns="http://schemas.openxmlformats.org/spreadsheetml/2006/main" count="45" uniqueCount="40">
  <si>
    <t>轨 迹 记 录 表</t>
  </si>
  <si>
    <t>施 工 单 位</t>
  </si>
  <si>
    <t>钻场编号</t>
  </si>
  <si>
    <t>钻孔编号</t>
  </si>
  <si>
    <t>日期</t>
  </si>
  <si>
    <t>施 工 人 员</t>
  </si>
  <si>
    <t>华电煤业集团数智技术有限公司</t>
  </si>
  <si>
    <t>3</t>
  </si>
  <si>
    <t>2025/2/18-2025/2/22</t>
  </si>
  <si>
    <t>柳欢、雷烨、韩杰、李凯、张鹏哲</t>
  </si>
  <si>
    <t>设计孔口坐标</t>
  </si>
  <si>
    <t>实钻孔口坐标</t>
  </si>
  <si>
    <t>坐标纵线网格方位(º)</t>
  </si>
  <si>
    <t>方位修正角(º)</t>
  </si>
  <si>
    <t>孔口高程</t>
  </si>
  <si>
    <t>闭合方位角(º)</t>
  </si>
  <si>
    <t>AutoCAD绘图比例</t>
  </si>
  <si>
    <t>设 计 施 工 说 明</t>
  </si>
  <si>
    <t>E(X)</t>
  </si>
  <si>
    <t>N(Y)</t>
  </si>
  <si>
    <t>Z</t>
  </si>
  <si>
    <t>测 点  序 号</t>
  </si>
  <si>
    <t>测　深　　(m)</t>
  </si>
  <si>
    <t>井斜角(º)</t>
  </si>
  <si>
    <t>孔深</t>
  </si>
  <si>
    <t>倾　角 (º)</t>
  </si>
  <si>
    <t>磁方位(º)</t>
  </si>
  <si>
    <t>网格方位(º)</t>
  </si>
  <si>
    <t>水平投影长度(m)</t>
  </si>
  <si>
    <t>E坐标 (X)</t>
  </si>
  <si>
    <t>N坐标 (Y)</t>
  </si>
  <si>
    <t>垂深(Z&amp;z)</t>
  </si>
  <si>
    <t>测点高程</t>
  </si>
  <si>
    <t>视平移(x)</t>
  </si>
  <si>
    <t>右偏移(y)</t>
  </si>
  <si>
    <t>全弯曲强度i(º/m)</t>
  </si>
  <si>
    <t>CAD绘平面图数据</t>
  </si>
  <si>
    <t>CAD绘剖面图数据</t>
  </si>
  <si>
    <t>CAD绘三维图数据</t>
  </si>
  <si>
    <t>pline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</si>
</sst>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_);[Red]\(0\)"/>
    <numFmt numFmtId="178" formatCode="0.00_ "/>
    <numFmt numFmtId="179" formatCode="0.0000_ "/>
  </numFmts>
  <fonts count="28">
    <font>
      <sz val="11"/>
      <color theme="1"/>
      <name val="宋体"/>
      <charset val="134"/>
      <scheme val="minor"/>
    </font>
    <font>
      <b/>
      <sz val="20"/>
      <name val="宋体"/>
      <charset val="134"/>
    </font>
    <font>
      <sz val="18"/>
      <name val="宋体"/>
      <charset val="134"/>
    </font>
    <font>
      <b/>
      <sz val="16"/>
      <name val="黑体"/>
      <charset val="134"/>
    </font>
    <font>
      <sz val="12"/>
      <name val="宋体"/>
      <charset val="134"/>
    </font>
    <font>
      <sz val="10"/>
      <name val="宋体"/>
      <charset val="134"/>
      <scheme val="major"/>
    </font>
    <font>
      <b/>
      <sz val="12"/>
      <name val="黑体"/>
      <charset val="134"/>
    </font>
    <font>
      <sz val="11"/>
      <color rgb="FFFF0000"/>
      <name val="宋体"/>
      <charset val="134"/>
      <scheme val="minor"/>
    </font>
    <font>
      <sz val="16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2" borderId="7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3" borderId="10" applyNumberFormat="0" applyAlignment="0" applyProtection="0">
      <alignment vertical="center"/>
    </xf>
    <xf numFmtId="0" fontId="18" fillId="4" borderId="11" applyNumberFormat="0" applyAlignment="0" applyProtection="0">
      <alignment vertical="center"/>
    </xf>
    <xf numFmtId="0" fontId="19" fillId="4" borderId="10" applyNumberFormat="0" applyAlignment="0" applyProtection="0">
      <alignment vertical="center"/>
    </xf>
    <xf numFmtId="0" fontId="20" fillId="5" borderId="12" applyNumberFormat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2" fillId="0" borderId="14" applyNumberFormat="0" applyFill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32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176" fontId="0" fillId="0" borderId="1" xfId="0" applyNumberForma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 wrapText="1"/>
    </xf>
    <xf numFmtId="177" fontId="4" fillId="0" borderId="1" xfId="0" applyNumberFormat="1" applyFont="1" applyFill="1" applyBorder="1" applyAlignment="1">
      <alignment horizontal="center" vertical="center"/>
    </xf>
    <xf numFmtId="176" fontId="4" fillId="0" borderId="1" xfId="0" applyNumberFormat="1" applyFont="1" applyFill="1" applyBorder="1" applyAlignment="1">
      <alignment horizontal="center" vertical="center"/>
    </xf>
    <xf numFmtId="178" fontId="5" fillId="0" borderId="1" xfId="49" applyNumberFormat="1" applyFont="1" applyFill="1" applyBorder="1" applyAlignment="1">
      <alignment horizontal="center" vertical="center"/>
    </xf>
    <xf numFmtId="178" fontId="4" fillId="0" borderId="1" xfId="0" applyNumberFormat="1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  <xf numFmtId="0" fontId="2" fillId="0" borderId="5" xfId="0" applyFont="1" applyFill="1" applyBorder="1" applyAlignment="1">
      <alignment horizontal="center" vertical="center"/>
    </xf>
    <xf numFmtId="0" fontId="2" fillId="0" borderId="6" xfId="0" applyFont="1" applyFill="1" applyBorder="1" applyAlignment="1">
      <alignment horizontal="center" vertical="center"/>
    </xf>
    <xf numFmtId="49" fontId="3" fillId="0" borderId="1" xfId="0" applyNumberFormat="1" applyFont="1" applyFill="1" applyBorder="1" applyAlignment="1">
      <alignment horizontal="center" vertical="center"/>
    </xf>
    <xf numFmtId="14" fontId="3" fillId="0" borderId="4" xfId="0" applyNumberFormat="1" applyFont="1" applyFill="1" applyBorder="1" applyAlignment="1">
      <alignment horizontal="center" vertical="center" wrapText="1"/>
    </xf>
    <xf numFmtId="14" fontId="3" fillId="0" borderId="5" xfId="0" applyNumberFormat="1" applyFont="1" applyFill="1" applyBorder="1" applyAlignment="1">
      <alignment horizontal="center" vertical="center" wrapText="1"/>
    </xf>
    <xf numFmtId="14" fontId="3" fillId="0" borderId="6" xfId="0" applyNumberFormat="1" applyFont="1" applyFill="1" applyBorder="1" applyAlignment="1">
      <alignment horizontal="center" vertical="center" wrapText="1"/>
    </xf>
    <xf numFmtId="14" fontId="6" fillId="0" borderId="4" xfId="0" applyNumberFormat="1" applyFont="1" applyFill="1" applyBorder="1" applyAlignment="1">
      <alignment horizontal="center" vertical="center"/>
    </xf>
    <xf numFmtId="176" fontId="0" fillId="0" borderId="1" xfId="0" applyNumberFormat="1" applyFill="1" applyBorder="1" applyAlignment="1">
      <alignment horizontal="left" vertical="center" wrapText="1"/>
    </xf>
    <xf numFmtId="0" fontId="7" fillId="0" borderId="1" xfId="0" applyFont="1" applyFill="1" applyBorder="1" applyAlignment="1">
      <alignment horizontal="center" vertical="center"/>
    </xf>
    <xf numFmtId="178" fontId="4" fillId="0" borderId="1" xfId="0" applyNumberFormat="1" applyFont="1" applyFill="1" applyBorder="1">
      <alignment vertical="center"/>
    </xf>
    <xf numFmtId="179" fontId="8" fillId="0" borderId="1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  <xf numFmtId="0" fontId="2" fillId="0" borderId="6" xfId="0" applyFont="1" applyFill="1" applyBorder="1" applyAlignment="1">
      <alignment vertical="center"/>
    </xf>
    <xf numFmtId="14" fontId="6" fillId="0" borderId="5" xfId="0" applyNumberFormat="1" applyFont="1" applyFill="1" applyBorder="1" applyAlignment="1">
      <alignment horizontal="center" vertical="center"/>
    </xf>
    <xf numFmtId="14" fontId="6" fillId="0" borderId="6" xfId="0" applyNumberFormat="1" applyFont="1" applyFill="1" applyBorder="1" applyAlignment="1">
      <alignment horizontal="center" vertical="center"/>
    </xf>
    <xf numFmtId="178" fontId="0" fillId="0" borderId="1" xfId="0" applyNumberFormat="1" applyFill="1" applyBorder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72"/>
  <sheetViews>
    <sheetView tabSelected="1" zoomScale="79" zoomScaleNormal="79" topLeftCell="A54" workbookViewId="0">
      <selection activeCell="P9" sqref="P9:P72"/>
    </sheetView>
  </sheetViews>
  <sheetFormatPr defaultColWidth="9" defaultRowHeight="14.4"/>
  <cols>
    <col min="2" max="4" width="8.33333333333333" customWidth="1"/>
    <col min="5" max="5" width="7.66666666666667" customWidth="1"/>
    <col min="6" max="7" width="8.33333333333333" customWidth="1"/>
    <col min="8" max="8" width="9.44444444444444" customWidth="1"/>
    <col min="9" max="9" width="9.77777777777778" customWidth="1"/>
    <col min="10" max="10" width="10.2222222222222" customWidth="1"/>
    <col min="12" max="12" width="8.77777777777778" customWidth="1"/>
    <col min="13" max="14" width="9.44444444444444"/>
    <col min="16" max="17" width="17.5555555555556" customWidth="1"/>
    <col min="18" max="18" width="20.8888888888889" customWidth="1"/>
  </cols>
  <sheetData>
    <row r="1" ht="25.8" spans="1:1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ht="22.2" spans="1:18">
      <c r="A2" s="2" t="s">
        <v>1</v>
      </c>
      <c r="B2" s="2"/>
      <c r="C2" s="2"/>
      <c r="D2" s="2"/>
      <c r="E2" s="2"/>
      <c r="F2" s="2"/>
      <c r="G2" s="2"/>
      <c r="H2" s="2" t="s">
        <v>2</v>
      </c>
      <c r="I2" s="2"/>
      <c r="J2" s="2" t="s">
        <v>3</v>
      </c>
      <c r="K2" s="2"/>
      <c r="L2" s="15" t="s">
        <v>4</v>
      </c>
      <c r="M2" s="16"/>
      <c r="N2" s="16"/>
      <c r="O2" s="17"/>
      <c r="P2" s="15" t="s">
        <v>5</v>
      </c>
      <c r="Q2" s="16"/>
      <c r="R2" s="28"/>
    </row>
    <row r="3" ht="20.4" spans="1:18">
      <c r="A3" s="3" t="s">
        <v>6</v>
      </c>
      <c r="B3" s="4"/>
      <c r="C3" s="4"/>
      <c r="D3" s="4"/>
      <c r="E3" s="4"/>
      <c r="F3" s="4"/>
      <c r="G3" s="4"/>
      <c r="H3" s="4">
        <v>1</v>
      </c>
      <c r="I3" s="4"/>
      <c r="J3" s="18" t="s">
        <v>7</v>
      </c>
      <c r="K3" s="18"/>
      <c r="L3" s="19" t="s">
        <v>8</v>
      </c>
      <c r="M3" s="20"/>
      <c r="N3" s="20"/>
      <c r="O3" s="21"/>
      <c r="P3" s="22" t="s">
        <v>9</v>
      </c>
      <c r="Q3" s="29"/>
      <c r="R3" s="30"/>
    </row>
    <row r="4" ht="22.2" spans="1:18">
      <c r="A4" s="5" t="s">
        <v>10</v>
      </c>
      <c r="B4" s="5"/>
      <c r="C4" s="5"/>
      <c r="D4" s="5"/>
      <c r="E4" s="5" t="s">
        <v>11</v>
      </c>
      <c r="F4" s="5"/>
      <c r="G4" s="5"/>
      <c r="H4" s="5"/>
      <c r="I4" s="5"/>
      <c r="J4" s="7" t="s">
        <v>12</v>
      </c>
      <c r="K4" s="7" t="s">
        <v>13</v>
      </c>
      <c r="L4" s="7" t="s">
        <v>14</v>
      </c>
      <c r="M4" s="7" t="s">
        <v>15</v>
      </c>
      <c r="N4" s="7" t="s">
        <v>16</v>
      </c>
      <c r="O4" s="7"/>
      <c r="P4" s="2" t="s">
        <v>17</v>
      </c>
      <c r="Q4" s="2"/>
      <c r="R4" s="2"/>
    </row>
    <row r="5" spans="1:18">
      <c r="A5" s="5" t="s">
        <v>18</v>
      </c>
      <c r="B5" s="5" t="s">
        <v>19</v>
      </c>
      <c r="C5" s="5" t="s">
        <v>20</v>
      </c>
      <c r="D5" s="5"/>
      <c r="E5" s="5" t="s">
        <v>18</v>
      </c>
      <c r="F5" s="5" t="s">
        <v>19</v>
      </c>
      <c r="G5" s="5" t="s">
        <v>20</v>
      </c>
      <c r="H5" s="5"/>
      <c r="I5" s="5"/>
      <c r="J5" s="7"/>
      <c r="K5" s="7"/>
      <c r="L5" s="7"/>
      <c r="M5" s="7"/>
      <c r="N5" s="7"/>
      <c r="O5" s="7"/>
      <c r="P5" s="23"/>
      <c r="Q5" s="23"/>
      <c r="R5" s="23"/>
    </row>
    <row r="6" ht="20.4" spans="1:18">
      <c r="A6" s="6">
        <v>0</v>
      </c>
      <c r="B6" s="6">
        <v>0</v>
      </c>
      <c r="C6" s="6">
        <v>0</v>
      </c>
      <c r="D6" s="6"/>
      <c r="E6" s="6">
        <v>0</v>
      </c>
      <c r="F6" s="6">
        <v>0</v>
      </c>
      <c r="G6" s="6">
        <v>0</v>
      </c>
      <c r="H6" s="6"/>
      <c r="I6" s="6"/>
      <c r="J6" s="5">
        <v>270</v>
      </c>
      <c r="K6" s="24">
        <v>-4.5</v>
      </c>
      <c r="L6" s="25">
        <v>1.5</v>
      </c>
      <c r="M6" s="6"/>
      <c r="N6" s="26">
        <v>0.001</v>
      </c>
      <c r="O6" s="26"/>
      <c r="P6" s="23"/>
      <c r="Q6" s="23"/>
      <c r="R6" s="23"/>
    </row>
    <row r="7" spans="1:18">
      <c r="A7" s="7" t="s">
        <v>21</v>
      </c>
      <c r="B7" s="8" t="s">
        <v>22</v>
      </c>
      <c r="C7" s="8" t="s">
        <v>23</v>
      </c>
      <c r="D7" s="9" t="s">
        <v>24</v>
      </c>
      <c r="E7" s="8" t="s">
        <v>25</v>
      </c>
      <c r="F7" s="8" t="s">
        <v>26</v>
      </c>
      <c r="G7" s="8" t="s">
        <v>27</v>
      </c>
      <c r="H7" s="8" t="s">
        <v>28</v>
      </c>
      <c r="I7" s="7" t="s">
        <v>29</v>
      </c>
      <c r="J7" s="7" t="s">
        <v>30</v>
      </c>
      <c r="K7" s="7" t="s">
        <v>31</v>
      </c>
      <c r="L7" s="7" t="s">
        <v>32</v>
      </c>
      <c r="M7" s="7" t="s">
        <v>33</v>
      </c>
      <c r="N7" s="7" t="s">
        <v>34</v>
      </c>
      <c r="O7" s="7" t="s">
        <v>35</v>
      </c>
      <c r="P7" s="5" t="s">
        <v>36</v>
      </c>
      <c r="Q7" s="5" t="s">
        <v>37</v>
      </c>
      <c r="R7" s="5" t="s">
        <v>38</v>
      </c>
    </row>
    <row r="8" spans="1:18">
      <c r="A8" s="7"/>
      <c r="B8" s="8"/>
      <c r="C8" s="8"/>
      <c r="D8" s="10"/>
      <c r="E8" s="8"/>
      <c r="F8" s="8"/>
      <c r="G8" s="8"/>
      <c r="H8" s="8"/>
      <c r="I8" s="7"/>
      <c r="J8" s="7"/>
      <c r="K8" s="7"/>
      <c r="L8" s="7"/>
      <c r="M8" s="7"/>
      <c r="N8" s="7"/>
      <c r="O8" s="7"/>
      <c r="P8" s="27" t="s">
        <v>39</v>
      </c>
      <c r="Q8" s="27" t="s">
        <v>39</v>
      </c>
      <c r="R8" s="27" t="s">
        <v>39</v>
      </c>
    </row>
    <row r="9" ht="15.6" spans="1:18">
      <c r="A9" s="11">
        <v>1</v>
      </c>
      <c r="B9" s="12">
        <v>0</v>
      </c>
      <c r="C9" s="12">
        <f t="shared" ref="C9:C72" si="0">90+E9</f>
        <v>103.56</v>
      </c>
      <c r="D9" s="12">
        <v>0</v>
      </c>
      <c r="E9" s="13">
        <v>13.56</v>
      </c>
      <c r="F9" s="13">
        <v>23</v>
      </c>
      <c r="G9" s="14">
        <f t="shared" ref="G9:G72" si="1">F9-3.5</f>
        <v>19.5</v>
      </c>
      <c r="H9" s="14">
        <v>0</v>
      </c>
      <c r="I9" s="14">
        <f>A6+G6</f>
        <v>0</v>
      </c>
      <c r="J9" s="14">
        <f>B6+H6</f>
        <v>0</v>
      </c>
      <c r="K9" s="14">
        <f>E6+I6</f>
        <v>0</v>
      </c>
      <c r="L9" s="14">
        <f t="shared" ref="L9:L72" si="2">K9+$L$6</f>
        <v>1.5</v>
      </c>
      <c r="M9" s="14">
        <v>0</v>
      </c>
      <c r="N9" s="14">
        <v>0</v>
      </c>
      <c r="O9" s="14"/>
      <c r="P9" s="14" t="str">
        <f t="shared" ref="P9:P72" si="3">ROUND(I9,2)*$N$6*1000&amp;","&amp;ROUND(J9,2)*$N$6*1000</f>
        <v>0,0</v>
      </c>
      <c r="Q9" s="14" t="str">
        <f t="shared" ref="Q9:Q72" si="4">ROUND(H9,2)*$N$6*1000&amp;","&amp;ROUND(K9,2)*$N$6*1000</f>
        <v>0,0</v>
      </c>
      <c r="R9" s="31" t="str">
        <f t="shared" ref="R9:R72" si="5">ROUND(I9,2)*$N$6*1000&amp;","&amp;ROUND(J9,2)*$N$6*1000&amp;","&amp;ROUND(K9,2)*$N$6*1000</f>
        <v>0,0,0</v>
      </c>
    </row>
    <row r="10" ht="15.6" spans="1:18">
      <c r="A10" s="11">
        <v>2</v>
      </c>
      <c r="B10" s="12">
        <v>2</v>
      </c>
      <c r="C10" s="12">
        <f t="shared" si="0"/>
        <v>102.69</v>
      </c>
      <c r="D10" s="12">
        <v>9</v>
      </c>
      <c r="E10" s="13">
        <v>12.69</v>
      </c>
      <c r="F10" s="13">
        <v>23</v>
      </c>
      <c r="G10" s="14">
        <f t="shared" si="1"/>
        <v>19.5</v>
      </c>
      <c r="H10" s="14">
        <f t="shared" ref="H10:H73" si="6">H9+(B10-B9)*COS(RADIANS((E10+E9)/2))</f>
        <v>1.94775395855467</v>
      </c>
      <c r="I10" s="14">
        <f t="shared" ref="I10:I73" si="7">IF(ABS(G10-G9)&gt;270,I9+(B10-B9)*COS(RADIANS((E10+E9)/2))*SIN(RADIANS((G10+G9+360)/2)),I9+(B10-B9)*COS(RADIANS((E10+E9)/2))*SIN(RADIANS((G10+G9)/2)))</f>
        <v>0.650173631465278</v>
      </c>
      <c r="J10" s="14">
        <f t="shared" ref="J10:J73" si="8">IF(ABS(G10-G9)&gt;270,J9+(B10-B9)*COS(RADIANS((E10+E9)/2))*COS(RADIANS((G10+G9+360)/2)),J9+(B10-B9)*COS(RADIANS((E10+E9)/2))*COS(RADIANS((G10+G9)/2)))</f>
        <v>1.83603369577266</v>
      </c>
      <c r="K10" s="14">
        <f t="shared" ref="K10:K73" si="9">K9+(B10-B9)*SIN(RADIANS((E10+E9)/2))</f>
        <v>0.454152526068746</v>
      </c>
      <c r="L10" s="14">
        <f t="shared" si="2"/>
        <v>1.95415252606875</v>
      </c>
      <c r="M10" s="14">
        <f t="shared" ref="M10:M73" si="10">IF(ABS(K10-K9)&gt;270,M9+(B10-B9)*COS(RADIANS((E10+E9)/2))*COS(RADIANS((G10+G9+360)/2-$J$6)),M9+(B10-B9)*COS(RADIANS((E10+E9)/2))*COS(RADIANS((G10+G9)/2-$J$6)))</f>
        <v>-0.650173631465279</v>
      </c>
      <c r="N10" s="14">
        <f t="shared" ref="N10:N73" si="11">IF(ABS(L10-L9)&gt;270,N9+(B10-B9)*COS(RADIANS((E10+E9)/2))*SIN(RADIANS((G10+G9+360)/2-$J$6)),N9+(B10-B9)*COS(RADIANS((E10+E9)/2))*SIN(RADIANS((G10+G9)/2-$J$6)))</f>
        <v>1.83603369577266</v>
      </c>
      <c r="O10" s="14">
        <f t="shared" ref="O10:O73" si="12">IF(ABS(M10-M9)&gt;270,DEGREES(ACOS(SIN(RADIANS(E9))*SIN(RADIANS(E10))+COS(RADIANS(E9))*COS(RADIANS(E10))*COS(RADIANS(G10-G9-360))))/(B10-B9),DEGREES(ACOS(SIN(RADIANS(E9))*SIN(RADIANS(E10))+COS(RADIANS(E9))*COS(RADIANS(E10))*COS(RADIANS(G10-G9))))/(B10-B9))</f>
        <v>0.435000000000201</v>
      </c>
      <c r="P10" s="14" t="str">
        <f t="shared" si="3"/>
        <v>0.65,1.84</v>
      </c>
      <c r="Q10" s="14" t="str">
        <f t="shared" si="4"/>
        <v>1.95,0.45</v>
      </c>
      <c r="R10" s="31" t="str">
        <f t="shared" si="5"/>
        <v>0.65,1.84,0.45</v>
      </c>
    </row>
    <row r="11" ht="15.6" spans="1:18">
      <c r="A11" s="11">
        <v>3</v>
      </c>
      <c r="B11" s="12">
        <v>5</v>
      </c>
      <c r="C11" s="12">
        <f t="shared" si="0"/>
        <v>103.55</v>
      </c>
      <c r="D11" s="12">
        <v>12</v>
      </c>
      <c r="E11" s="13">
        <v>13.55</v>
      </c>
      <c r="F11" s="13">
        <v>23</v>
      </c>
      <c r="G11" s="14">
        <f t="shared" si="1"/>
        <v>19.5</v>
      </c>
      <c r="H11" s="14">
        <f t="shared" si="6"/>
        <v>4.86944433368849</v>
      </c>
      <c r="I11" s="14">
        <f t="shared" si="7"/>
        <v>1.62545391924224</v>
      </c>
      <c r="J11" s="14">
        <f t="shared" si="8"/>
        <v>4.59014026749848</v>
      </c>
      <c r="K11" s="14">
        <f t="shared" si="9"/>
        <v>1.1351263521813</v>
      </c>
      <c r="L11" s="14">
        <f t="shared" si="2"/>
        <v>2.6351263521813</v>
      </c>
      <c r="M11" s="14">
        <f t="shared" si="10"/>
        <v>-1.62545391924224</v>
      </c>
      <c r="N11" s="14">
        <f t="shared" si="11"/>
        <v>4.59014026749848</v>
      </c>
      <c r="O11" s="14">
        <f t="shared" si="12"/>
        <v>0.286666666666556</v>
      </c>
      <c r="P11" s="14" t="str">
        <f t="shared" si="3"/>
        <v>1.63,4.59</v>
      </c>
      <c r="Q11" s="14" t="str">
        <f t="shared" si="4"/>
        <v>4.87,1.14</v>
      </c>
      <c r="R11" s="31" t="str">
        <f t="shared" si="5"/>
        <v>1.63,4.59,1.14</v>
      </c>
    </row>
    <row r="12" ht="15.6" spans="1:18">
      <c r="A12" s="11">
        <v>4</v>
      </c>
      <c r="B12" s="12">
        <v>8</v>
      </c>
      <c r="C12" s="12">
        <f t="shared" si="0"/>
        <v>103.47</v>
      </c>
      <c r="D12" s="12">
        <v>15</v>
      </c>
      <c r="E12" s="13">
        <v>13.47</v>
      </c>
      <c r="F12" s="14">
        <v>22.63</v>
      </c>
      <c r="G12" s="14">
        <f t="shared" si="1"/>
        <v>19.13</v>
      </c>
      <c r="H12" s="14">
        <f t="shared" si="6"/>
        <v>7.78643181874534</v>
      </c>
      <c r="I12" s="14">
        <f t="shared" si="7"/>
        <v>2.59028098163151</v>
      </c>
      <c r="J12" s="14">
        <f t="shared" si="8"/>
        <v>7.34294333485719</v>
      </c>
      <c r="K12" s="14">
        <f t="shared" si="9"/>
        <v>1.83597156477945</v>
      </c>
      <c r="L12" s="14">
        <f t="shared" si="2"/>
        <v>3.33597156477945</v>
      </c>
      <c r="M12" s="14">
        <f t="shared" si="10"/>
        <v>-2.59028098163151</v>
      </c>
      <c r="N12" s="14">
        <f t="shared" si="11"/>
        <v>7.34294333485719</v>
      </c>
      <c r="O12" s="14">
        <f t="shared" si="12"/>
        <v>0.122849725817226</v>
      </c>
      <c r="P12" s="14" t="str">
        <f t="shared" si="3"/>
        <v>2.59,7.34</v>
      </c>
      <c r="Q12" s="14" t="str">
        <f t="shared" si="4"/>
        <v>7.79,1.84</v>
      </c>
      <c r="R12" s="31" t="str">
        <f t="shared" si="5"/>
        <v>2.59,7.34,1.84</v>
      </c>
    </row>
    <row r="13" ht="15.6" spans="1:18">
      <c r="A13" s="11">
        <v>5</v>
      </c>
      <c r="B13" s="12">
        <v>11</v>
      </c>
      <c r="C13" s="12">
        <f t="shared" si="0"/>
        <v>104.22</v>
      </c>
      <c r="D13" s="12">
        <v>18</v>
      </c>
      <c r="E13" s="13">
        <v>14.22</v>
      </c>
      <c r="F13" s="14">
        <v>22.14</v>
      </c>
      <c r="G13" s="14">
        <f t="shared" si="1"/>
        <v>18.64</v>
      </c>
      <c r="H13" s="14">
        <f t="shared" si="6"/>
        <v>10.6992717287469</v>
      </c>
      <c r="I13" s="14">
        <f t="shared" si="7"/>
        <v>3.53307906708406</v>
      </c>
      <c r="J13" s="14">
        <f t="shared" si="8"/>
        <v>10.0989854447251</v>
      </c>
      <c r="K13" s="14">
        <f t="shared" si="9"/>
        <v>2.55385989781037</v>
      </c>
      <c r="L13" s="14">
        <f t="shared" si="2"/>
        <v>4.05385989781037</v>
      </c>
      <c r="M13" s="14">
        <f t="shared" si="10"/>
        <v>-3.53307906708407</v>
      </c>
      <c r="N13" s="14">
        <f t="shared" si="11"/>
        <v>10.0989854447251</v>
      </c>
      <c r="O13" s="14">
        <f t="shared" si="12"/>
        <v>0.296056928235541</v>
      </c>
      <c r="P13" s="14" t="str">
        <f t="shared" si="3"/>
        <v>3.53,10.1</v>
      </c>
      <c r="Q13" s="14" t="str">
        <f t="shared" si="4"/>
        <v>10.7,2.55</v>
      </c>
      <c r="R13" s="31" t="str">
        <f t="shared" si="5"/>
        <v>3.53,10.1,2.55</v>
      </c>
    </row>
    <row r="14" ht="15.6" spans="1:18">
      <c r="A14" s="11">
        <v>6</v>
      </c>
      <c r="B14" s="12">
        <v>14</v>
      </c>
      <c r="C14" s="12">
        <f t="shared" si="0"/>
        <v>104.69</v>
      </c>
      <c r="D14" s="12">
        <v>21</v>
      </c>
      <c r="E14" s="13">
        <v>14.69</v>
      </c>
      <c r="F14" s="14">
        <v>21.63</v>
      </c>
      <c r="G14" s="14">
        <f t="shared" si="1"/>
        <v>18.13</v>
      </c>
      <c r="H14" s="14">
        <f t="shared" si="6"/>
        <v>13.6043036980034</v>
      </c>
      <c r="I14" s="14">
        <f t="shared" si="7"/>
        <v>4.4493279250862</v>
      </c>
      <c r="J14" s="14">
        <f t="shared" si="8"/>
        <v>12.8557405612728</v>
      </c>
      <c r="K14" s="14">
        <f t="shared" si="9"/>
        <v>3.30271853440182</v>
      </c>
      <c r="L14" s="14">
        <f t="shared" si="2"/>
        <v>4.80271853440182</v>
      </c>
      <c r="M14" s="14">
        <f t="shared" si="10"/>
        <v>-4.4493279250862</v>
      </c>
      <c r="N14" s="14">
        <f t="shared" si="11"/>
        <v>12.8557405612728</v>
      </c>
      <c r="O14" s="14">
        <f t="shared" si="12"/>
        <v>0.22725205043466</v>
      </c>
      <c r="P14" s="14" t="str">
        <f t="shared" si="3"/>
        <v>4.45,12.86</v>
      </c>
      <c r="Q14" s="14" t="str">
        <f t="shared" si="4"/>
        <v>13.6,3.3</v>
      </c>
      <c r="R14" s="31" t="str">
        <f t="shared" si="5"/>
        <v>4.45,12.86,3.3</v>
      </c>
    </row>
    <row r="15" ht="15.6" spans="1:18">
      <c r="A15" s="11">
        <v>7</v>
      </c>
      <c r="B15" s="12">
        <v>17</v>
      </c>
      <c r="C15" s="12">
        <f t="shared" si="0"/>
        <v>105.21</v>
      </c>
      <c r="D15" s="12">
        <v>24</v>
      </c>
      <c r="E15" s="13">
        <v>15.21</v>
      </c>
      <c r="F15" s="14">
        <v>20.99</v>
      </c>
      <c r="G15" s="14">
        <f t="shared" si="1"/>
        <v>17.49</v>
      </c>
      <c r="H15" s="14">
        <f t="shared" si="6"/>
        <v>16.5027576600684</v>
      </c>
      <c r="I15" s="14">
        <f t="shared" si="7"/>
        <v>5.33585333851758</v>
      </c>
      <c r="J15" s="14">
        <f t="shared" si="8"/>
        <v>15.6152890862223</v>
      </c>
      <c r="K15" s="14">
        <f t="shared" si="9"/>
        <v>4.07664658647758</v>
      </c>
      <c r="L15" s="14">
        <f t="shared" si="2"/>
        <v>5.57664658647758</v>
      </c>
      <c r="M15" s="14">
        <f t="shared" si="10"/>
        <v>-5.33585333851758</v>
      </c>
      <c r="N15" s="14">
        <f t="shared" si="11"/>
        <v>15.6152890862223</v>
      </c>
      <c r="O15" s="14">
        <f t="shared" si="12"/>
        <v>0.269307136485428</v>
      </c>
      <c r="P15" s="14" t="str">
        <f t="shared" si="3"/>
        <v>5.34,15.62</v>
      </c>
      <c r="Q15" s="14" t="str">
        <f t="shared" si="4"/>
        <v>16.5,4.08</v>
      </c>
      <c r="R15" s="31" t="str">
        <f t="shared" si="5"/>
        <v>5.34,15.62,4.08</v>
      </c>
    </row>
    <row r="16" ht="15.6" spans="1:18">
      <c r="A16" s="11">
        <v>8</v>
      </c>
      <c r="B16" s="12">
        <v>20</v>
      </c>
      <c r="C16" s="12">
        <f t="shared" si="0"/>
        <v>105.36</v>
      </c>
      <c r="D16" s="12">
        <v>27</v>
      </c>
      <c r="E16" s="13">
        <v>15.36</v>
      </c>
      <c r="F16" s="14">
        <v>20.47</v>
      </c>
      <c r="G16" s="14">
        <f t="shared" si="1"/>
        <v>16.97</v>
      </c>
      <c r="H16" s="14">
        <f t="shared" si="6"/>
        <v>19.3966370616837</v>
      </c>
      <c r="I16" s="14">
        <f t="shared" si="7"/>
        <v>6.19304412412978</v>
      </c>
      <c r="J16" s="14">
        <f t="shared" si="8"/>
        <v>18.3793010160363</v>
      </c>
      <c r="K16" s="14">
        <f t="shared" si="9"/>
        <v>4.86750814762905</v>
      </c>
      <c r="L16" s="14">
        <f t="shared" si="2"/>
        <v>6.36750814762905</v>
      </c>
      <c r="M16" s="14">
        <f t="shared" si="10"/>
        <v>-6.19304412412978</v>
      </c>
      <c r="N16" s="14">
        <f t="shared" si="11"/>
        <v>18.3793010160363</v>
      </c>
      <c r="O16" s="14">
        <f t="shared" si="12"/>
        <v>0.17451776270309</v>
      </c>
      <c r="P16" s="14" t="str">
        <f t="shared" si="3"/>
        <v>6.19,18.38</v>
      </c>
      <c r="Q16" s="14" t="str">
        <f t="shared" si="4"/>
        <v>19.4,4.87</v>
      </c>
      <c r="R16" s="31" t="str">
        <f t="shared" si="5"/>
        <v>6.19,18.38,4.87</v>
      </c>
    </row>
    <row r="17" ht="15.6" spans="1:18">
      <c r="A17" s="11">
        <v>9</v>
      </c>
      <c r="B17" s="12">
        <v>23</v>
      </c>
      <c r="C17" s="12">
        <f t="shared" si="0"/>
        <v>105.69</v>
      </c>
      <c r="D17" s="12">
        <v>30</v>
      </c>
      <c r="E17" s="13">
        <v>15.69</v>
      </c>
      <c r="F17" s="14">
        <v>19.68</v>
      </c>
      <c r="G17" s="14">
        <f t="shared" si="1"/>
        <v>16.18</v>
      </c>
      <c r="H17" s="14">
        <f t="shared" si="6"/>
        <v>22.2871783319119</v>
      </c>
      <c r="I17" s="14">
        <f t="shared" si="7"/>
        <v>7.01762939050106</v>
      </c>
      <c r="J17" s="14">
        <f t="shared" si="8"/>
        <v>21.1497320246298</v>
      </c>
      <c r="K17" s="14">
        <f t="shared" si="9"/>
        <v>5.67048458881974</v>
      </c>
      <c r="L17" s="14">
        <f t="shared" si="2"/>
        <v>7.17048458881974</v>
      </c>
      <c r="M17" s="14">
        <f t="shared" si="10"/>
        <v>-7.01762939050106</v>
      </c>
      <c r="N17" s="14">
        <f t="shared" si="11"/>
        <v>21.1497320246298</v>
      </c>
      <c r="O17" s="14">
        <f t="shared" si="12"/>
        <v>0.276543360409299</v>
      </c>
      <c r="P17" s="14" t="str">
        <f t="shared" si="3"/>
        <v>7.02,21.15</v>
      </c>
      <c r="Q17" s="14" t="str">
        <f t="shared" si="4"/>
        <v>22.29,5.67</v>
      </c>
      <c r="R17" s="31" t="str">
        <f t="shared" si="5"/>
        <v>7.02,21.15,5.67</v>
      </c>
    </row>
    <row r="18" ht="15.6" spans="1:18">
      <c r="A18" s="11">
        <v>10</v>
      </c>
      <c r="B18" s="12">
        <v>26</v>
      </c>
      <c r="C18" s="12">
        <f t="shared" si="0"/>
        <v>105.47</v>
      </c>
      <c r="D18" s="12">
        <v>33</v>
      </c>
      <c r="E18" s="13">
        <v>15.47</v>
      </c>
      <c r="F18" s="14">
        <v>18.94</v>
      </c>
      <c r="G18" s="14">
        <f t="shared" si="1"/>
        <v>15.44</v>
      </c>
      <c r="H18" s="14">
        <f t="shared" si="6"/>
        <v>25.1769474684392</v>
      </c>
      <c r="I18" s="14">
        <f t="shared" si="7"/>
        <v>7.80494173703142</v>
      </c>
      <c r="J18" s="14">
        <f t="shared" si="8"/>
        <v>23.9301825153644</v>
      </c>
      <c r="K18" s="14">
        <f t="shared" si="9"/>
        <v>6.47623538005407</v>
      </c>
      <c r="L18" s="14">
        <f t="shared" si="2"/>
        <v>7.97623538005407</v>
      </c>
      <c r="M18" s="14">
        <f t="shared" si="10"/>
        <v>-7.80494173703142</v>
      </c>
      <c r="N18" s="14">
        <f t="shared" si="11"/>
        <v>23.9301825153644</v>
      </c>
      <c r="O18" s="14">
        <f t="shared" si="12"/>
        <v>0.24866229174989</v>
      </c>
      <c r="P18" s="14" t="str">
        <f t="shared" si="3"/>
        <v>7.8,23.93</v>
      </c>
      <c r="Q18" s="14" t="str">
        <f t="shared" si="4"/>
        <v>25.18,6.48</v>
      </c>
      <c r="R18" s="31" t="str">
        <f t="shared" si="5"/>
        <v>7.8,23.93,6.48</v>
      </c>
    </row>
    <row r="19" ht="15.6" spans="1:18">
      <c r="A19" s="11">
        <v>11</v>
      </c>
      <c r="B19" s="12">
        <v>29</v>
      </c>
      <c r="C19" s="12">
        <f t="shared" si="0"/>
        <v>105.91</v>
      </c>
      <c r="D19" s="12">
        <v>36</v>
      </c>
      <c r="E19" s="13">
        <v>15.91</v>
      </c>
      <c r="F19" s="14">
        <v>18.03</v>
      </c>
      <c r="G19" s="14">
        <f t="shared" si="1"/>
        <v>14.53</v>
      </c>
      <c r="H19" s="14">
        <f t="shared" si="6"/>
        <v>28.0651643497922</v>
      </c>
      <c r="I19" s="14">
        <f t="shared" si="7"/>
        <v>8.55173687791307</v>
      </c>
      <c r="J19" s="14">
        <f t="shared" si="8"/>
        <v>26.7201813991075</v>
      </c>
      <c r="K19" s="14">
        <f t="shared" si="9"/>
        <v>7.28753264140007</v>
      </c>
      <c r="L19" s="14">
        <f t="shared" si="2"/>
        <v>8.78753264140007</v>
      </c>
      <c r="M19" s="14">
        <f t="shared" si="10"/>
        <v>-8.55173687791307</v>
      </c>
      <c r="N19" s="14">
        <f t="shared" si="11"/>
        <v>26.7201813991075</v>
      </c>
      <c r="O19" s="14">
        <f t="shared" si="12"/>
        <v>0.32679115705794</v>
      </c>
      <c r="P19" s="14" t="str">
        <f t="shared" si="3"/>
        <v>8.55,26.72</v>
      </c>
      <c r="Q19" s="14" t="str">
        <f t="shared" si="4"/>
        <v>28.07,7.29</v>
      </c>
      <c r="R19" s="31" t="str">
        <f t="shared" si="5"/>
        <v>8.55,26.72,7.29</v>
      </c>
    </row>
    <row r="20" ht="15.6" spans="1:18">
      <c r="A20" s="11">
        <v>12</v>
      </c>
      <c r="B20" s="12">
        <v>32</v>
      </c>
      <c r="C20" s="12">
        <f t="shared" si="0"/>
        <v>106.22</v>
      </c>
      <c r="D20" s="12">
        <v>39</v>
      </c>
      <c r="E20" s="13">
        <v>16.22</v>
      </c>
      <c r="F20" s="14">
        <v>17.52</v>
      </c>
      <c r="G20" s="14">
        <f t="shared" si="1"/>
        <v>14.02</v>
      </c>
      <c r="H20" s="14">
        <f t="shared" si="6"/>
        <v>30.9480094800973</v>
      </c>
      <c r="I20" s="14">
        <f t="shared" si="7"/>
        <v>9.26257780714769</v>
      </c>
      <c r="J20" s="14">
        <f t="shared" si="8"/>
        <v>29.5140141103931</v>
      </c>
      <c r="K20" s="14">
        <f t="shared" si="9"/>
        <v>8.11771572643355</v>
      </c>
      <c r="L20" s="14">
        <f t="shared" si="2"/>
        <v>9.61771572643355</v>
      </c>
      <c r="M20" s="14">
        <f t="shared" si="10"/>
        <v>-9.2625778071477</v>
      </c>
      <c r="N20" s="14">
        <f t="shared" si="11"/>
        <v>29.5140141103931</v>
      </c>
      <c r="O20" s="14">
        <f t="shared" si="12"/>
        <v>0.193299178759258</v>
      </c>
      <c r="P20" s="14" t="str">
        <f t="shared" si="3"/>
        <v>9.26,29.51</v>
      </c>
      <c r="Q20" s="14" t="str">
        <f t="shared" si="4"/>
        <v>30.95,8.12</v>
      </c>
      <c r="R20" s="31" t="str">
        <f t="shared" si="5"/>
        <v>9.26,29.51,8.12</v>
      </c>
    </row>
    <row r="21" ht="15.6" spans="1:18">
      <c r="A21" s="11">
        <v>13</v>
      </c>
      <c r="B21" s="12">
        <v>35</v>
      </c>
      <c r="C21" s="12">
        <f t="shared" si="0"/>
        <v>105.34</v>
      </c>
      <c r="D21" s="12">
        <v>42</v>
      </c>
      <c r="E21" s="13">
        <v>15.34</v>
      </c>
      <c r="F21" s="14">
        <v>16.36</v>
      </c>
      <c r="G21" s="14">
        <f t="shared" si="1"/>
        <v>12.86</v>
      </c>
      <c r="H21" s="14">
        <f t="shared" si="6"/>
        <v>33.8349484160223</v>
      </c>
      <c r="I21" s="14">
        <f t="shared" si="7"/>
        <v>9.93358028422643</v>
      </c>
      <c r="J21" s="14">
        <f t="shared" si="8"/>
        <v>32.3218909053244</v>
      </c>
      <c r="K21" s="14">
        <f t="shared" si="9"/>
        <v>8.93354878548442</v>
      </c>
      <c r="L21" s="14">
        <f t="shared" si="2"/>
        <v>10.4335487854844</v>
      </c>
      <c r="M21" s="14">
        <f t="shared" si="10"/>
        <v>-9.93358028422643</v>
      </c>
      <c r="N21" s="14">
        <f t="shared" si="11"/>
        <v>32.3218909053244</v>
      </c>
      <c r="O21" s="14">
        <f t="shared" si="12"/>
        <v>0.473808956679106</v>
      </c>
      <c r="P21" s="14" t="str">
        <f t="shared" si="3"/>
        <v>9.93,32.32</v>
      </c>
      <c r="Q21" s="14" t="str">
        <f t="shared" si="4"/>
        <v>33.83,8.93</v>
      </c>
      <c r="R21" s="31" t="str">
        <f t="shared" si="5"/>
        <v>9.93,32.32,8.93</v>
      </c>
    </row>
    <row r="22" ht="15.6" spans="1:18">
      <c r="A22" s="11">
        <v>14</v>
      </c>
      <c r="B22" s="12">
        <v>38</v>
      </c>
      <c r="C22" s="12">
        <f t="shared" si="0"/>
        <v>105.01</v>
      </c>
      <c r="D22" s="12">
        <v>45</v>
      </c>
      <c r="E22" s="13">
        <v>15.01</v>
      </c>
      <c r="F22" s="14">
        <v>15.84</v>
      </c>
      <c r="G22" s="14">
        <f t="shared" si="1"/>
        <v>12.34</v>
      </c>
      <c r="H22" s="14">
        <f t="shared" si="6"/>
        <v>36.7303408286724</v>
      </c>
      <c r="I22" s="14">
        <f t="shared" si="7"/>
        <v>10.5651905702369</v>
      </c>
      <c r="J22" s="14">
        <f t="shared" si="8"/>
        <v>35.1475528932199</v>
      </c>
      <c r="K22" s="14">
        <f t="shared" si="9"/>
        <v>9.71885304293407</v>
      </c>
      <c r="L22" s="14">
        <f t="shared" si="2"/>
        <v>11.2188530429341</v>
      </c>
      <c r="M22" s="14">
        <f t="shared" si="10"/>
        <v>-10.5651905702369</v>
      </c>
      <c r="N22" s="14">
        <f t="shared" si="11"/>
        <v>35.1475528932199</v>
      </c>
      <c r="O22" s="14">
        <f t="shared" si="12"/>
        <v>0.200213924279994</v>
      </c>
      <c r="P22" s="14" t="str">
        <f t="shared" si="3"/>
        <v>10.57,35.15</v>
      </c>
      <c r="Q22" s="14" t="str">
        <f t="shared" si="4"/>
        <v>36.73,9.72</v>
      </c>
      <c r="R22" s="31" t="str">
        <f t="shared" si="5"/>
        <v>10.57,35.15,9.72</v>
      </c>
    </row>
    <row r="23" ht="15.6" spans="1:18">
      <c r="A23" s="11">
        <v>15</v>
      </c>
      <c r="B23" s="12">
        <v>41</v>
      </c>
      <c r="C23" s="12">
        <f t="shared" si="0"/>
        <v>104.22</v>
      </c>
      <c r="D23" s="12">
        <v>48</v>
      </c>
      <c r="E23" s="13">
        <v>14.22</v>
      </c>
      <c r="F23" s="14">
        <v>14.36</v>
      </c>
      <c r="G23" s="14">
        <f t="shared" si="1"/>
        <v>10.86</v>
      </c>
      <c r="H23" s="14">
        <f t="shared" si="6"/>
        <v>39.6332702658209</v>
      </c>
      <c r="I23" s="14">
        <f t="shared" si="7"/>
        <v>11.1489055866921</v>
      </c>
      <c r="J23" s="14">
        <f t="shared" si="8"/>
        <v>37.9911907211839</v>
      </c>
      <c r="K23" s="14">
        <f t="shared" si="9"/>
        <v>10.4758211287451</v>
      </c>
      <c r="L23" s="14">
        <f t="shared" si="2"/>
        <v>11.9758211287451</v>
      </c>
      <c r="M23" s="14">
        <f t="shared" si="10"/>
        <v>-11.1489055866921</v>
      </c>
      <c r="N23" s="14">
        <f t="shared" si="11"/>
        <v>37.9911907211839</v>
      </c>
      <c r="O23" s="14">
        <f t="shared" si="12"/>
        <v>0.545180702464589</v>
      </c>
      <c r="P23" s="14" t="str">
        <f t="shared" si="3"/>
        <v>11.15,37.99</v>
      </c>
      <c r="Q23" s="14" t="str">
        <f t="shared" si="4"/>
        <v>39.63,10.48</v>
      </c>
      <c r="R23" s="31" t="str">
        <f t="shared" si="5"/>
        <v>11.15,37.99,10.48</v>
      </c>
    </row>
    <row r="24" ht="15.6" spans="1:18">
      <c r="A24" s="11">
        <v>16</v>
      </c>
      <c r="B24" s="12">
        <v>44</v>
      </c>
      <c r="C24" s="12">
        <f t="shared" si="0"/>
        <v>104.69</v>
      </c>
      <c r="D24" s="12">
        <v>51</v>
      </c>
      <c r="E24" s="13">
        <v>14.69</v>
      </c>
      <c r="F24" s="13">
        <v>13.51</v>
      </c>
      <c r="G24" s="14">
        <f t="shared" si="1"/>
        <v>10.01</v>
      </c>
      <c r="H24" s="14">
        <f t="shared" si="6"/>
        <v>42.5383022350774</v>
      </c>
      <c r="I24" s="14">
        <f t="shared" si="7"/>
        <v>11.6750648060116</v>
      </c>
      <c r="J24" s="14">
        <f t="shared" si="8"/>
        <v>40.8481764086398</v>
      </c>
      <c r="K24" s="14">
        <f t="shared" si="9"/>
        <v>11.2246797653365</v>
      </c>
      <c r="L24" s="14">
        <f t="shared" si="2"/>
        <v>12.7246797653365</v>
      </c>
      <c r="M24" s="14">
        <f t="shared" si="10"/>
        <v>-11.6750648060116</v>
      </c>
      <c r="N24" s="14">
        <f t="shared" si="11"/>
        <v>40.8481764086398</v>
      </c>
      <c r="O24" s="14">
        <f t="shared" si="12"/>
        <v>0.315942286225155</v>
      </c>
      <c r="P24" s="14" t="str">
        <f t="shared" si="3"/>
        <v>11.68,40.85</v>
      </c>
      <c r="Q24" s="14" t="str">
        <f t="shared" si="4"/>
        <v>42.54,11.22</v>
      </c>
      <c r="R24" s="31" t="str">
        <f t="shared" si="5"/>
        <v>11.68,40.85,11.22</v>
      </c>
    </row>
    <row r="25" ht="15.6" spans="1:18">
      <c r="A25" s="11">
        <v>17</v>
      </c>
      <c r="B25" s="12">
        <v>47</v>
      </c>
      <c r="C25" s="12">
        <f t="shared" si="0"/>
        <v>104.25</v>
      </c>
      <c r="D25" s="12">
        <v>54</v>
      </c>
      <c r="E25" s="13">
        <v>14.25</v>
      </c>
      <c r="F25" s="13">
        <v>12.22</v>
      </c>
      <c r="G25" s="14">
        <f t="shared" si="1"/>
        <v>8.72</v>
      </c>
      <c r="H25" s="14">
        <f t="shared" si="6"/>
        <v>45.4431380540497</v>
      </c>
      <c r="I25" s="14">
        <f t="shared" si="7"/>
        <v>12.1477491868698</v>
      </c>
      <c r="J25" s="14">
        <f t="shared" si="8"/>
        <v>43.7142958428708</v>
      </c>
      <c r="K25" s="14">
        <f t="shared" si="9"/>
        <v>11.9742989118474</v>
      </c>
      <c r="L25" s="14">
        <f t="shared" si="2"/>
        <v>13.4742989118474</v>
      </c>
      <c r="M25" s="14">
        <f t="shared" si="10"/>
        <v>-12.1477491868698</v>
      </c>
      <c r="N25" s="14">
        <f t="shared" si="11"/>
        <v>43.7142958428708</v>
      </c>
      <c r="O25" s="14">
        <f t="shared" si="12"/>
        <v>0.441435290101848</v>
      </c>
      <c r="P25" s="14" t="str">
        <f t="shared" si="3"/>
        <v>12.15,43.71</v>
      </c>
      <c r="Q25" s="14" t="str">
        <f t="shared" si="4"/>
        <v>45.44,11.97</v>
      </c>
      <c r="R25" s="31" t="str">
        <f t="shared" si="5"/>
        <v>12.15,43.71,11.97</v>
      </c>
    </row>
    <row r="26" ht="15.6" spans="1:18">
      <c r="A26" s="11">
        <v>18</v>
      </c>
      <c r="B26" s="12">
        <v>50</v>
      </c>
      <c r="C26" s="12">
        <f t="shared" si="0"/>
        <v>103.58</v>
      </c>
      <c r="D26" s="12">
        <v>57</v>
      </c>
      <c r="E26" s="13">
        <v>13.58</v>
      </c>
      <c r="F26" s="13">
        <v>11.43</v>
      </c>
      <c r="G26" s="14">
        <f t="shared" si="1"/>
        <v>7.93</v>
      </c>
      <c r="H26" s="14">
        <f t="shared" si="6"/>
        <v>48.3550987243253</v>
      </c>
      <c r="I26" s="14">
        <f t="shared" si="7"/>
        <v>12.569366000825</v>
      </c>
      <c r="J26" s="14">
        <f t="shared" si="8"/>
        <v>46.5955723321065</v>
      </c>
      <c r="K26" s="14">
        <f t="shared" si="9"/>
        <v>12.6957454135148</v>
      </c>
      <c r="L26" s="14">
        <f t="shared" si="2"/>
        <v>14.1957454135148</v>
      </c>
      <c r="M26" s="14">
        <f t="shared" si="10"/>
        <v>-12.569366000825</v>
      </c>
      <c r="N26" s="14">
        <f t="shared" si="11"/>
        <v>46.5955723321065</v>
      </c>
      <c r="O26" s="14">
        <f t="shared" si="12"/>
        <v>0.339427423087782</v>
      </c>
      <c r="P26" s="14" t="str">
        <f t="shared" si="3"/>
        <v>12.57,46.6</v>
      </c>
      <c r="Q26" s="14" t="str">
        <f t="shared" si="4"/>
        <v>48.36,12.7</v>
      </c>
      <c r="R26" s="31" t="str">
        <f t="shared" si="5"/>
        <v>12.57,46.6,12.7</v>
      </c>
    </row>
    <row r="27" ht="15.6" spans="1:18">
      <c r="A27" s="11">
        <v>19</v>
      </c>
      <c r="B27" s="12">
        <v>53</v>
      </c>
      <c r="C27" s="12">
        <f t="shared" si="0"/>
        <v>103.41</v>
      </c>
      <c r="D27" s="12">
        <v>60</v>
      </c>
      <c r="E27" s="13">
        <v>13.41</v>
      </c>
      <c r="F27" s="13">
        <v>10.52</v>
      </c>
      <c r="G27" s="14">
        <f t="shared" si="1"/>
        <v>7.02</v>
      </c>
      <c r="H27" s="14">
        <f t="shared" si="6"/>
        <v>51.2722695902641</v>
      </c>
      <c r="I27" s="14">
        <f t="shared" si="7"/>
        <v>12.9488712033524</v>
      </c>
      <c r="J27" s="14">
        <f t="shared" si="8"/>
        <v>49.4879522626026</v>
      </c>
      <c r="K27" s="14">
        <f t="shared" si="9"/>
        <v>13.3958269365663</v>
      </c>
      <c r="L27" s="14">
        <f t="shared" si="2"/>
        <v>14.8958269365663</v>
      </c>
      <c r="M27" s="14">
        <f t="shared" si="10"/>
        <v>-12.9488712033524</v>
      </c>
      <c r="N27" s="14">
        <f t="shared" si="11"/>
        <v>49.4879522626026</v>
      </c>
      <c r="O27" s="14">
        <f t="shared" si="12"/>
        <v>0.300352105121879</v>
      </c>
      <c r="P27" s="14" t="str">
        <f t="shared" si="3"/>
        <v>12.95,49.49</v>
      </c>
      <c r="Q27" s="14" t="str">
        <f t="shared" si="4"/>
        <v>51.27,13.4</v>
      </c>
      <c r="R27" s="31" t="str">
        <f t="shared" si="5"/>
        <v>12.95,49.49,13.4</v>
      </c>
    </row>
    <row r="28" ht="15.6" spans="1:18">
      <c r="A28" s="11">
        <v>20</v>
      </c>
      <c r="B28" s="12">
        <v>56</v>
      </c>
      <c r="C28" s="12">
        <f t="shared" si="0"/>
        <v>104.61</v>
      </c>
      <c r="D28" s="12">
        <v>63</v>
      </c>
      <c r="E28" s="13">
        <v>14.61</v>
      </c>
      <c r="F28" s="13">
        <v>9.63</v>
      </c>
      <c r="G28" s="14">
        <f t="shared" si="1"/>
        <v>6.13</v>
      </c>
      <c r="H28" s="14">
        <f t="shared" si="6"/>
        <v>54.183030054749</v>
      </c>
      <c r="I28" s="14">
        <f t="shared" si="7"/>
        <v>13.282164043232</v>
      </c>
      <c r="J28" s="14">
        <f t="shared" si="8"/>
        <v>52.3795681369008</v>
      </c>
      <c r="K28" s="14">
        <f t="shared" si="9"/>
        <v>14.1221006579629</v>
      </c>
      <c r="L28" s="14">
        <f t="shared" si="2"/>
        <v>15.6221006579629</v>
      </c>
      <c r="M28" s="14">
        <f t="shared" si="10"/>
        <v>-13.282164043232</v>
      </c>
      <c r="N28" s="14">
        <f t="shared" si="11"/>
        <v>52.3795681369008</v>
      </c>
      <c r="O28" s="14">
        <f t="shared" si="12"/>
        <v>0.492797371229861</v>
      </c>
      <c r="P28" s="14" t="str">
        <f t="shared" si="3"/>
        <v>13.28,52.38</v>
      </c>
      <c r="Q28" s="14" t="str">
        <f t="shared" si="4"/>
        <v>54.18,14.12</v>
      </c>
      <c r="R28" s="31" t="str">
        <f t="shared" si="5"/>
        <v>13.28,52.38,14.12</v>
      </c>
    </row>
    <row r="29" ht="15.6" spans="1:18">
      <c r="A29" s="11">
        <v>21</v>
      </c>
      <c r="B29" s="12">
        <v>59</v>
      </c>
      <c r="C29" s="12">
        <f t="shared" si="0"/>
        <v>105.34</v>
      </c>
      <c r="D29" s="12">
        <v>66</v>
      </c>
      <c r="E29" s="13">
        <v>15.34</v>
      </c>
      <c r="F29" s="13">
        <v>8.49</v>
      </c>
      <c r="G29" s="14">
        <f t="shared" si="1"/>
        <v>4.99</v>
      </c>
      <c r="H29" s="14">
        <f t="shared" si="6"/>
        <v>57.0811460510953</v>
      </c>
      <c r="I29" s="14">
        <f t="shared" si="7"/>
        <v>13.562956926832</v>
      </c>
      <c r="J29" s="14">
        <f t="shared" si="8"/>
        <v>55.2640493181183</v>
      </c>
      <c r="K29" s="14">
        <f t="shared" si="9"/>
        <v>14.8972933254475</v>
      </c>
      <c r="L29" s="14">
        <f t="shared" si="2"/>
        <v>16.3972933254475</v>
      </c>
      <c r="M29" s="14">
        <f t="shared" si="10"/>
        <v>-13.562956926832</v>
      </c>
      <c r="N29" s="14">
        <f t="shared" si="11"/>
        <v>55.2640493181183</v>
      </c>
      <c r="O29" s="14">
        <f t="shared" si="12"/>
        <v>0.440416976897776</v>
      </c>
      <c r="P29" s="14" t="str">
        <f t="shared" si="3"/>
        <v>13.56,55.26</v>
      </c>
      <c r="Q29" s="14" t="str">
        <f t="shared" si="4"/>
        <v>57.08,14.9</v>
      </c>
      <c r="R29" s="31" t="str">
        <f t="shared" si="5"/>
        <v>13.56,55.26,14.9</v>
      </c>
    </row>
    <row r="30" ht="15.6" spans="1:18">
      <c r="A30" s="11">
        <v>22</v>
      </c>
      <c r="B30" s="12">
        <v>62</v>
      </c>
      <c r="C30" s="12">
        <f t="shared" si="0"/>
        <v>105.32</v>
      </c>
      <c r="D30" s="12">
        <v>69</v>
      </c>
      <c r="E30" s="13">
        <v>15.32</v>
      </c>
      <c r="F30" s="13">
        <v>7.63</v>
      </c>
      <c r="G30" s="14">
        <f t="shared" si="1"/>
        <v>4.13</v>
      </c>
      <c r="H30" s="14">
        <f t="shared" si="6"/>
        <v>59.9744034190117</v>
      </c>
      <c r="I30" s="14">
        <f t="shared" si="7"/>
        <v>13.7929796307379</v>
      </c>
      <c r="J30" s="14">
        <f t="shared" si="8"/>
        <v>58.1481484413612</v>
      </c>
      <c r="K30" s="14">
        <f t="shared" si="9"/>
        <v>15.6904274900108</v>
      </c>
      <c r="L30" s="14">
        <f t="shared" si="2"/>
        <v>17.1904274900108</v>
      </c>
      <c r="M30" s="14">
        <f t="shared" si="10"/>
        <v>-13.792979630738</v>
      </c>
      <c r="N30" s="14">
        <f t="shared" si="11"/>
        <v>58.1481484413612</v>
      </c>
      <c r="O30" s="14">
        <f t="shared" si="12"/>
        <v>0.27654699975351</v>
      </c>
      <c r="P30" s="14" t="str">
        <f t="shared" si="3"/>
        <v>13.79,58.15</v>
      </c>
      <c r="Q30" s="14" t="str">
        <f t="shared" si="4"/>
        <v>59.97,15.69</v>
      </c>
      <c r="R30" s="31" t="str">
        <f t="shared" si="5"/>
        <v>13.79,58.15,15.69</v>
      </c>
    </row>
    <row r="31" ht="15.6" spans="1:18">
      <c r="A31" s="11">
        <v>23</v>
      </c>
      <c r="B31" s="12">
        <v>65</v>
      </c>
      <c r="C31" s="12">
        <f t="shared" si="0"/>
        <v>105.94</v>
      </c>
      <c r="D31" s="12">
        <v>72</v>
      </c>
      <c r="E31" s="13">
        <v>15.94</v>
      </c>
      <c r="F31" s="13">
        <v>5.24</v>
      </c>
      <c r="G31" s="14">
        <f t="shared" si="1"/>
        <v>1.74</v>
      </c>
      <c r="H31" s="14">
        <f t="shared" si="6"/>
        <v>62.8634683050728</v>
      </c>
      <c r="I31" s="14">
        <f t="shared" si="7"/>
        <v>13.9409084592089</v>
      </c>
      <c r="J31" s="14">
        <f t="shared" si="8"/>
        <v>61.0334236409875</v>
      </c>
      <c r="K31" s="14">
        <f t="shared" si="9"/>
        <v>16.4986997734207</v>
      </c>
      <c r="L31" s="14">
        <f t="shared" si="2"/>
        <v>17.9986997734207</v>
      </c>
      <c r="M31" s="14">
        <f t="shared" si="10"/>
        <v>-13.9409084592089</v>
      </c>
      <c r="N31" s="14">
        <f t="shared" si="11"/>
        <v>61.0334236409875</v>
      </c>
      <c r="O31" s="14">
        <f t="shared" si="12"/>
        <v>0.794546888051594</v>
      </c>
      <c r="P31" s="14" t="str">
        <f t="shared" si="3"/>
        <v>13.94,61.03</v>
      </c>
      <c r="Q31" s="14" t="str">
        <f t="shared" si="4"/>
        <v>62.86,16.5</v>
      </c>
      <c r="R31" s="31" t="str">
        <f t="shared" si="5"/>
        <v>13.94,61.03,16.5</v>
      </c>
    </row>
    <row r="32" ht="15.6" spans="1:18">
      <c r="A32" s="11">
        <v>24</v>
      </c>
      <c r="B32" s="12">
        <v>68</v>
      </c>
      <c r="C32" s="12">
        <f t="shared" si="0"/>
        <v>106.58</v>
      </c>
      <c r="D32" s="12">
        <v>75</v>
      </c>
      <c r="E32" s="13">
        <v>16.58</v>
      </c>
      <c r="F32" s="13">
        <v>4.61</v>
      </c>
      <c r="G32" s="14">
        <f t="shared" si="1"/>
        <v>1.11</v>
      </c>
      <c r="H32" s="14">
        <f t="shared" si="6"/>
        <v>65.743471306235</v>
      </c>
      <c r="I32" s="14">
        <f t="shared" si="7"/>
        <v>14.012529462127</v>
      </c>
      <c r="J32" s="14">
        <f t="shared" si="8"/>
        <v>63.9125359553379</v>
      </c>
      <c r="K32" s="14">
        <f t="shared" si="9"/>
        <v>17.3386894836533</v>
      </c>
      <c r="L32" s="14">
        <f t="shared" si="2"/>
        <v>18.8386894836533</v>
      </c>
      <c r="M32" s="14">
        <f t="shared" si="10"/>
        <v>-14.012529462127</v>
      </c>
      <c r="N32" s="14">
        <f t="shared" si="11"/>
        <v>63.9125359553379</v>
      </c>
      <c r="O32" s="14">
        <f t="shared" si="12"/>
        <v>0.293518642131053</v>
      </c>
      <c r="P32" s="14" t="str">
        <f t="shared" si="3"/>
        <v>14.01,63.91</v>
      </c>
      <c r="Q32" s="14" t="str">
        <f t="shared" si="4"/>
        <v>65.74,17.34</v>
      </c>
      <c r="R32" s="31" t="str">
        <f t="shared" si="5"/>
        <v>14.01,63.91,17.34</v>
      </c>
    </row>
    <row r="33" ht="15.6" spans="1:18">
      <c r="A33" s="11">
        <v>25</v>
      </c>
      <c r="B33" s="12">
        <v>71</v>
      </c>
      <c r="C33" s="12">
        <f t="shared" si="0"/>
        <v>106.21</v>
      </c>
      <c r="D33" s="12">
        <v>78</v>
      </c>
      <c r="E33" s="13">
        <v>16.21</v>
      </c>
      <c r="F33" s="13">
        <v>3.52</v>
      </c>
      <c r="G33" s="14">
        <f t="shared" si="1"/>
        <v>0.02</v>
      </c>
      <c r="H33" s="14">
        <f t="shared" si="6"/>
        <v>68.6214871357173</v>
      </c>
      <c r="I33" s="14">
        <f t="shared" si="7"/>
        <v>14.0409094336341</v>
      </c>
      <c r="J33" s="14">
        <f t="shared" si="8"/>
        <v>66.7904118546719</v>
      </c>
      <c r="K33" s="14">
        <f t="shared" si="9"/>
        <v>18.1854627031457</v>
      </c>
      <c r="L33" s="14">
        <f t="shared" si="2"/>
        <v>19.6854627031457</v>
      </c>
      <c r="M33" s="14">
        <f t="shared" si="10"/>
        <v>-14.0409094336341</v>
      </c>
      <c r="N33" s="14">
        <f t="shared" si="11"/>
        <v>66.790411854672</v>
      </c>
      <c r="O33" s="14">
        <f t="shared" si="12"/>
        <v>0.369735240708792</v>
      </c>
      <c r="P33" s="14" t="str">
        <f t="shared" si="3"/>
        <v>14.04,66.79</v>
      </c>
      <c r="Q33" s="14" t="str">
        <f t="shared" si="4"/>
        <v>68.62,18.19</v>
      </c>
      <c r="R33" s="31" t="str">
        <f t="shared" si="5"/>
        <v>14.04,66.79,18.19</v>
      </c>
    </row>
    <row r="34" ht="15.6" spans="1:18">
      <c r="A34" s="11">
        <v>26</v>
      </c>
      <c r="B34" s="12">
        <v>74</v>
      </c>
      <c r="C34" s="12">
        <f t="shared" si="0"/>
        <v>105.32</v>
      </c>
      <c r="D34" s="12">
        <v>81</v>
      </c>
      <c r="E34" s="13">
        <v>15.32</v>
      </c>
      <c r="F34" s="13">
        <v>3.49</v>
      </c>
      <c r="G34" s="14">
        <f t="shared" si="1"/>
        <v>-0.00999999999999979</v>
      </c>
      <c r="H34" s="14">
        <f t="shared" si="6"/>
        <v>71.5086395573014</v>
      </c>
      <c r="I34" s="14">
        <f t="shared" si="7"/>
        <v>14.0411613852126</v>
      </c>
      <c r="J34" s="14">
        <f t="shared" si="8"/>
        <v>69.6775642652626</v>
      </c>
      <c r="K34" s="14">
        <f t="shared" si="9"/>
        <v>19.000539935401</v>
      </c>
      <c r="L34" s="14">
        <f t="shared" si="2"/>
        <v>20.500539935401</v>
      </c>
      <c r="M34" s="14">
        <f t="shared" si="10"/>
        <v>-14.0411613852126</v>
      </c>
      <c r="N34" s="14">
        <f t="shared" si="11"/>
        <v>69.6775642652626</v>
      </c>
      <c r="O34" s="14">
        <f t="shared" si="12"/>
        <v>0.296822720031169</v>
      </c>
      <c r="P34" s="14" t="str">
        <f t="shared" si="3"/>
        <v>14.04,69.68</v>
      </c>
      <c r="Q34" s="14" t="str">
        <f t="shared" si="4"/>
        <v>71.51,19</v>
      </c>
      <c r="R34" s="31" t="str">
        <f t="shared" si="5"/>
        <v>14.04,69.68,19</v>
      </c>
    </row>
    <row r="35" ht="15.6" spans="1:18">
      <c r="A35" s="11">
        <v>27</v>
      </c>
      <c r="B35" s="12">
        <v>77</v>
      </c>
      <c r="C35" s="12">
        <f t="shared" si="0"/>
        <v>104.29</v>
      </c>
      <c r="D35" s="12">
        <v>84</v>
      </c>
      <c r="E35" s="13">
        <v>14.29</v>
      </c>
      <c r="F35" s="13">
        <v>2.96</v>
      </c>
      <c r="G35" s="14">
        <f t="shared" si="1"/>
        <v>-0.54</v>
      </c>
      <c r="H35" s="14">
        <f t="shared" si="6"/>
        <v>74.4090428365276</v>
      </c>
      <c r="I35" s="14">
        <f t="shared" si="7"/>
        <v>14.0272405022753</v>
      </c>
      <c r="J35" s="14">
        <f t="shared" si="8"/>
        <v>72.5779341367039</v>
      </c>
      <c r="K35" s="14">
        <f t="shared" si="9"/>
        <v>19.7671303200613</v>
      </c>
      <c r="L35" s="14">
        <f t="shared" si="2"/>
        <v>21.2671303200613</v>
      </c>
      <c r="M35" s="14">
        <f t="shared" si="10"/>
        <v>-14.0272405022753</v>
      </c>
      <c r="N35" s="14">
        <f t="shared" si="11"/>
        <v>72.5779341367039</v>
      </c>
      <c r="O35" s="14">
        <f t="shared" si="12"/>
        <v>0.383470957590286</v>
      </c>
      <c r="P35" s="14" t="str">
        <f t="shared" si="3"/>
        <v>14.03,72.58</v>
      </c>
      <c r="Q35" s="14" t="str">
        <f t="shared" si="4"/>
        <v>74.41,19.77</v>
      </c>
      <c r="R35" s="31" t="str">
        <f t="shared" si="5"/>
        <v>14.03,72.58,19.77</v>
      </c>
    </row>
    <row r="36" ht="15.6" spans="1:18">
      <c r="A36" s="11">
        <v>28</v>
      </c>
      <c r="B36" s="12">
        <v>80</v>
      </c>
      <c r="C36" s="12">
        <f t="shared" si="0"/>
        <v>104.36</v>
      </c>
      <c r="D36" s="12">
        <v>87</v>
      </c>
      <c r="E36" s="13">
        <v>14.36</v>
      </c>
      <c r="F36" s="13">
        <v>2.58</v>
      </c>
      <c r="G36" s="14">
        <f t="shared" si="1"/>
        <v>-0.92</v>
      </c>
      <c r="H36" s="14">
        <f t="shared" si="6"/>
        <v>77.3157664330765</v>
      </c>
      <c r="I36" s="14">
        <f t="shared" si="7"/>
        <v>13.9902072192738</v>
      </c>
      <c r="J36" s="14">
        <f t="shared" si="8"/>
        <v>75.4844218113181</v>
      </c>
      <c r="K36" s="14">
        <f t="shared" si="9"/>
        <v>20.5093957262779</v>
      </c>
      <c r="L36" s="14">
        <f t="shared" si="2"/>
        <v>22.0093957262779</v>
      </c>
      <c r="M36" s="14">
        <f t="shared" si="10"/>
        <v>-13.9902072192738</v>
      </c>
      <c r="N36" s="14">
        <f t="shared" si="11"/>
        <v>75.4844218113182</v>
      </c>
      <c r="O36" s="14">
        <f t="shared" si="12"/>
        <v>0.124926705386593</v>
      </c>
      <c r="P36" s="14" t="str">
        <f t="shared" si="3"/>
        <v>13.99,75.48</v>
      </c>
      <c r="Q36" s="14" t="str">
        <f t="shared" si="4"/>
        <v>77.32,20.51</v>
      </c>
      <c r="R36" s="31" t="str">
        <f t="shared" si="5"/>
        <v>13.99,75.48,20.51</v>
      </c>
    </row>
    <row r="37" ht="15.6" spans="1:18">
      <c r="A37" s="11">
        <v>29</v>
      </c>
      <c r="B37" s="12">
        <v>83</v>
      </c>
      <c r="C37" s="12">
        <f t="shared" si="0"/>
        <v>103.52</v>
      </c>
      <c r="D37" s="12">
        <v>90</v>
      </c>
      <c r="E37" s="13">
        <v>13.52</v>
      </c>
      <c r="F37" s="13">
        <v>3.14</v>
      </c>
      <c r="G37" s="14">
        <f t="shared" si="1"/>
        <v>-0.36</v>
      </c>
      <c r="H37" s="14">
        <f t="shared" si="6"/>
        <v>80.2274120357432</v>
      </c>
      <c r="I37" s="14">
        <f t="shared" si="7"/>
        <v>13.9576845020532</v>
      </c>
      <c r="J37" s="14">
        <f t="shared" si="8"/>
        <v>78.3958857709771</v>
      </c>
      <c r="K37" s="14">
        <f t="shared" si="9"/>
        <v>21.232112741763</v>
      </c>
      <c r="L37" s="14">
        <f t="shared" si="2"/>
        <v>22.732112741763</v>
      </c>
      <c r="M37" s="14">
        <f t="shared" si="10"/>
        <v>-13.9576845020532</v>
      </c>
      <c r="N37" s="14">
        <f t="shared" si="11"/>
        <v>78.3958857709771</v>
      </c>
      <c r="O37" s="14">
        <f t="shared" si="12"/>
        <v>0.333498900257035</v>
      </c>
      <c r="P37" s="14" t="str">
        <f t="shared" si="3"/>
        <v>13.96,78.4</v>
      </c>
      <c r="Q37" s="14" t="str">
        <f t="shared" si="4"/>
        <v>80.23,21.23</v>
      </c>
      <c r="R37" s="31" t="str">
        <f t="shared" si="5"/>
        <v>13.96,78.4,21.23</v>
      </c>
    </row>
    <row r="38" ht="15.6" spans="1:18">
      <c r="A38" s="11">
        <v>30</v>
      </c>
      <c r="B38" s="12">
        <v>86</v>
      </c>
      <c r="C38" s="12">
        <f t="shared" si="0"/>
        <v>103.24</v>
      </c>
      <c r="D38" s="12">
        <v>93</v>
      </c>
      <c r="E38" s="13">
        <v>13.24</v>
      </c>
      <c r="F38" s="13">
        <v>3.02</v>
      </c>
      <c r="G38" s="14">
        <f t="shared" si="1"/>
        <v>-0.48</v>
      </c>
      <c r="H38" s="14">
        <f t="shared" si="6"/>
        <v>83.1459821784089</v>
      </c>
      <c r="I38" s="14">
        <f t="shared" si="7"/>
        <v>13.9362904571094</v>
      </c>
      <c r="J38" s="14">
        <f t="shared" si="8"/>
        <v>81.3143775000214</v>
      </c>
      <c r="K38" s="14">
        <f t="shared" si="9"/>
        <v>21.926337721392</v>
      </c>
      <c r="L38" s="14">
        <f t="shared" si="2"/>
        <v>23.426337721392</v>
      </c>
      <c r="M38" s="14">
        <f t="shared" si="10"/>
        <v>-13.9362904571094</v>
      </c>
      <c r="N38" s="14">
        <f t="shared" si="11"/>
        <v>81.3143775000214</v>
      </c>
      <c r="O38" s="14">
        <f t="shared" si="12"/>
        <v>0.101120857662573</v>
      </c>
      <c r="P38" s="14" t="str">
        <f t="shared" si="3"/>
        <v>13.94,81.31</v>
      </c>
      <c r="Q38" s="14" t="str">
        <f t="shared" si="4"/>
        <v>83.15,21.93</v>
      </c>
      <c r="R38" s="31" t="str">
        <f t="shared" si="5"/>
        <v>13.94,81.31,21.93</v>
      </c>
    </row>
    <row r="39" ht="15.6" spans="1:18">
      <c r="A39" s="11">
        <v>31</v>
      </c>
      <c r="B39" s="12">
        <v>89</v>
      </c>
      <c r="C39" s="12">
        <f t="shared" si="0"/>
        <v>102.68</v>
      </c>
      <c r="D39" s="12">
        <v>96</v>
      </c>
      <c r="E39" s="13">
        <v>12.68</v>
      </c>
      <c r="F39" s="13">
        <v>3.65</v>
      </c>
      <c r="G39" s="14">
        <f t="shared" si="1"/>
        <v>0.15</v>
      </c>
      <c r="H39" s="14">
        <f t="shared" si="6"/>
        <v>86.0695627967686</v>
      </c>
      <c r="I39" s="14">
        <f t="shared" si="7"/>
        <v>13.9278711609698</v>
      </c>
      <c r="J39" s="14">
        <f t="shared" si="8"/>
        <v>84.2379459954566</v>
      </c>
      <c r="K39" s="14">
        <f t="shared" si="9"/>
        <v>22.5991500042401</v>
      </c>
      <c r="L39" s="14">
        <f t="shared" si="2"/>
        <v>24.0991500042401</v>
      </c>
      <c r="M39" s="14">
        <f t="shared" si="10"/>
        <v>-13.9278711609698</v>
      </c>
      <c r="N39" s="14">
        <f t="shared" si="11"/>
        <v>84.2379459954566</v>
      </c>
      <c r="O39" s="14">
        <f t="shared" si="12"/>
        <v>0.276994445133028</v>
      </c>
      <c r="P39" s="14" t="str">
        <f t="shared" si="3"/>
        <v>13.93,84.24</v>
      </c>
      <c r="Q39" s="14" t="str">
        <f t="shared" si="4"/>
        <v>86.07,22.6</v>
      </c>
      <c r="R39" s="31" t="str">
        <f t="shared" si="5"/>
        <v>13.93,84.24,22.6</v>
      </c>
    </row>
    <row r="40" ht="15.6" spans="1:18">
      <c r="A40" s="11">
        <v>32</v>
      </c>
      <c r="B40" s="12">
        <v>92</v>
      </c>
      <c r="C40" s="12">
        <f t="shared" si="0"/>
        <v>102.14</v>
      </c>
      <c r="D40" s="12">
        <v>99</v>
      </c>
      <c r="E40" s="13">
        <v>12.14</v>
      </c>
      <c r="F40" s="13">
        <v>4.12</v>
      </c>
      <c r="G40" s="14">
        <f t="shared" si="1"/>
        <v>0.62</v>
      </c>
      <c r="H40" s="14">
        <f t="shared" si="6"/>
        <v>88.9994671519906</v>
      </c>
      <c r="I40" s="14">
        <f t="shared" si="7"/>
        <v>13.9475585567554</v>
      </c>
      <c r="J40" s="14">
        <f t="shared" si="8"/>
        <v>87.1677842055282</v>
      </c>
      <c r="K40" s="14">
        <f t="shared" si="9"/>
        <v>23.243867360336</v>
      </c>
      <c r="L40" s="14">
        <f t="shared" si="2"/>
        <v>24.743867360336</v>
      </c>
      <c r="M40" s="14">
        <f t="shared" si="10"/>
        <v>-13.9475585567555</v>
      </c>
      <c r="N40" s="14">
        <f t="shared" si="11"/>
        <v>87.1677842055283</v>
      </c>
      <c r="O40" s="14">
        <f t="shared" si="12"/>
        <v>0.23624281387048</v>
      </c>
      <c r="P40" s="14" t="str">
        <f t="shared" si="3"/>
        <v>13.95,87.17</v>
      </c>
      <c r="Q40" s="14" t="str">
        <f t="shared" si="4"/>
        <v>89,23.24</v>
      </c>
      <c r="R40" s="31" t="str">
        <f t="shared" si="5"/>
        <v>13.95,87.17,23.24</v>
      </c>
    </row>
    <row r="41" ht="15.6" spans="1:18">
      <c r="A41" s="11">
        <v>33</v>
      </c>
      <c r="B41" s="12">
        <v>95</v>
      </c>
      <c r="C41" s="12">
        <f t="shared" si="0"/>
        <v>103.09</v>
      </c>
      <c r="D41" s="12">
        <v>102</v>
      </c>
      <c r="E41" s="13">
        <v>13.09</v>
      </c>
      <c r="F41" s="13">
        <v>5.15</v>
      </c>
      <c r="G41" s="14">
        <f t="shared" si="1"/>
        <v>1.65</v>
      </c>
      <c r="H41" s="14">
        <f t="shared" si="6"/>
        <v>91.9270460081752</v>
      </c>
      <c r="I41" s="14">
        <f t="shared" si="7"/>
        <v>14.0055485992033</v>
      </c>
      <c r="J41" s="14">
        <f t="shared" si="8"/>
        <v>90.094788666433</v>
      </c>
      <c r="K41" s="14">
        <f t="shared" si="9"/>
        <v>23.8990635453224</v>
      </c>
      <c r="L41" s="14">
        <f t="shared" si="2"/>
        <v>25.3990635453224</v>
      </c>
      <c r="M41" s="14">
        <f t="shared" si="10"/>
        <v>-14.0055485992033</v>
      </c>
      <c r="N41" s="14">
        <f t="shared" si="11"/>
        <v>90.094788666433</v>
      </c>
      <c r="O41" s="14">
        <f t="shared" si="12"/>
        <v>0.461009672741382</v>
      </c>
      <c r="P41" s="14" t="str">
        <f t="shared" si="3"/>
        <v>14.01,90.09</v>
      </c>
      <c r="Q41" s="14" t="str">
        <f t="shared" si="4"/>
        <v>91.93,23.9</v>
      </c>
      <c r="R41" s="31" t="str">
        <f t="shared" si="5"/>
        <v>14.01,90.09,23.9</v>
      </c>
    </row>
    <row r="42" ht="15.6" spans="1:18">
      <c r="A42" s="11">
        <v>34</v>
      </c>
      <c r="B42" s="12">
        <v>98</v>
      </c>
      <c r="C42" s="12">
        <f t="shared" si="0"/>
        <v>103.58</v>
      </c>
      <c r="D42" s="12">
        <v>105</v>
      </c>
      <c r="E42" s="13">
        <v>13.58</v>
      </c>
      <c r="F42" s="13">
        <v>4.85</v>
      </c>
      <c r="G42" s="14">
        <f t="shared" si="1"/>
        <v>1.35</v>
      </c>
      <c r="H42" s="14">
        <f t="shared" si="6"/>
        <v>94.8461604936484</v>
      </c>
      <c r="I42" s="14">
        <f t="shared" si="7"/>
        <v>14.0819621081943</v>
      </c>
      <c r="J42" s="14">
        <f t="shared" si="8"/>
        <v>93.0129028442785</v>
      </c>
      <c r="K42" s="14">
        <f t="shared" si="9"/>
        <v>24.5909960714408</v>
      </c>
      <c r="L42" s="14">
        <f t="shared" si="2"/>
        <v>26.0909960714408</v>
      </c>
      <c r="M42" s="14">
        <f t="shared" si="10"/>
        <v>-14.0819621081943</v>
      </c>
      <c r="N42" s="14">
        <f t="shared" si="11"/>
        <v>93.0129028442785</v>
      </c>
      <c r="O42" s="14">
        <f t="shared" si="12"/>
        <v>0.190120335148953</v>
      </c>
      <c r="P42" s="14" t="str">
        <f t="shared" si="3"/>
        <v>14.08,93.01</v>
      </c>
      <c r="Q42" s="14" t="str">
        <f t="shared" si="4"/>
        <v>94.85,24.59</v>
      </c>
      <c r="R42" s="31" t="str">
        <f t="shared" si="5"/>
        <v>14.08,93.01,24.59</v>
      </c>
    </row>
    <row r="43" ht="15.6" spans="1:18">
      <c r="A43" s="11">
        <v>35</v>
      </c>
      <c r="B43" s="12">
        <v>101</v>
      </c>
      <c r="C43" s="12">
        <f t="shared" si="0"/>
        <v>104.61</v>
      </c>
      <c r="D43" s="12">
        <v>108</v>
      </c>
      <c r="E43" s="13">
        <v>14.61</v>
      </c>
      <c r="F43" s="13">
        <v>4.63</v>
      </c>
      <c r="G43" s="14">
        <f t="shared" si="1"/>
        <v>1.13</v>
      </c>
      <c r="H43" s="14">
        <f t="shared" si="6"/>
        <v>97.7558403066845</v>
      </c>
      <c r="I43" s="14">
        <f t="shared" si="7"/>
        <v>14.1449287237607</v>
      </c>
      <c r="J43" s="14">
        <f t="shared" si="8"/>
        <v>95.9219012663671</v>
      </c>
      <c r="K43" s="14">
        <f t="shared" si="9"/>
        <v>25.3215871921165</v>
      </c>
      <c r="L43" s="14">
        <f t="shared" si="2"/>
        <v>26.8215871921165</v>
      </c>
      <c r="M43" s="14">
        <f t="shared" si="10"/>
        <v>-14.1449287237607</v>
      </c>
      <c r="N43" s="14">
        <f t="shared" si="11"/>
        <v>95.9219012663671</v>
      </c>
      <c r="O43" s="14">
        <f t="shared" si="12"/>
        <v>0.350622950022211</v>
      </c>
      <c r="P43" s="14" t="str">
        <f t="shared" si="3"/>
        <v>14.14,95.92</v>
      </c>
      <c r="Q43" s="14" t="str">
        <f t="shared" si="4"/>
        <v>97.76,25.32</v>
      </c>
      <c r="R43" s="31" t="str">
        <f t="shared" si="5"/>
        <v>14.14,95.92,25.32</v>
      </c>
    </row>
    <row r="44" ht="15.6" spans="1:18">
      <c r="A44" s="11">
        <v>36</v>
      </c>
      <c r="B44" s="12">
        <v>104</v>
      </c>
      <c r="C44" s="12">
        <f t="shared" si="0"/>
        <v>104.25</v>
      </c>
      <c r="D44" s="12">
        <v>111</v>
      </c>
      <c r="E44" s="13">
        <v>14.25</v>
      </c>
      <c r="F44" s="13">
        <v>2.99</v>
      </c>
      <c r="G44" s="14">
        <f t="shared" si="1"/>
        <v>-0.51</v>
      </c>
      <c r="H44" s="14">
        <f t="shared" si="6"/>
        <v>100.661198750613</v>
      </c>
      <c r="I44" s="14">
        <f t="shared" si="7"/>
        <v>14.1606481490131</v>
      </c>
      <c r="J44" s="14">
        <f t="shared" si="8"/>
        <v>98.8272171850543</v>
      </c>
      <c r="K44" s="14">
        <f t="shared" si="9"/>
        <v>26.0691781981436</v>
      </c>
      <c r="L44" s="14">
        <f t="shared" si="2"/>
        <v>27.5691781981436</v>
      </c>
      <c r="M44" s="14">
        <f t="shared" si="10"/>
        <v>-14.1606481490132</v>
      </c>
      <c r="N44" s="14">
        <f t="shared" si="11"/>
        <v>98.8272171850543</v>
      </c>
      <c r="O44" s="14">
        <f t="shared" si="12"/>
        <v>0.542848197912553</v>
      </c>
      <c r="P44" s="14" t="str">
        <f t="shared" si="3"/>
        <v>14.16,98.83</v>
      </c>
      <c r="Q44" s="14" t="str">
        <f t="shared" si="4"/>
        <v>100.66,26.07</v>
      </c>
      <c r="R44" s="31" t="str">
        <f t="shared" si="5"/>
        <v>14.16,98.83,26.07</v>
      </c>
    </row>
    <row r="45" ht="15.6" spans="1:18">
      <c r="A45" s="11">
        <v>37</v>
      </c>
      <c r="B45" s="12">
        <v>107</v>
      </c>
      <c r="C45" s="12">
        <f t="shared" si="0"/>
        <v>104.32</v>
      </c>
      <c r="D45" s="12">
        <v>114</v>
      </c>
      <c r="E45" s="13">
        <v>14.32</v>
      </c>
      <c r="F45" s="13">
        <v>3.85</v>
      </c>
      <c r="G45" s="14">
        <f t="shared" si="1"/>
        <v>0.35</v>
      </c>
      <c r="H45" s="14">
        <f t="shared" si="6"/>
        <v>103.56843983778</v>
      </c>
      <c r="I45" s="14">
        <f t="shared" si="7"/>
        <v>14.1565888760025</v>
      </c>
      <c r="J45" s="14">
        <f t="shared" si="8"/>
        <v>101.734455438313</v>
      </c>
      <c r="K45" s="14">
        <f t="shared" si="9"/>
        <v>26.8094141477512</v>
      </c>
      <c r="L45" s="14">
        <f t="shared" si="2"/>
        <v>28.3094141477512</v>
      </c>
      <c r="M45" s="14">
        <f t="shared" si="10"/>
        <v>-14.1565888760025</v>
      </c>
      <c r="N45" s="14">
        <f t="shared" si="11"/>
        <v>101.734455438313</v>
      </c>
      <c r="O45" s="14">
        <f t="shared" si="12"/>
        <v>0.278781047147821</v>
      </c>
      <c r="P45" s="14" t="str">
        <f t="shared" si="3"/>
        <v>14.16,101.73</v>
      </c>
      <c r="Q45" s="14" t="str">
        <f t="shared" si="4"/>
        <v>103.57,26.81</v>
      </c>
      <c r="R45" s="31" t="str">
        <f t="shared" si="5"/>
        <v>14.16,101.73,26.81</v>
      </c>
    </row>
    <row r="46" ht="15.6" spans="1:18">
      <c r="A46" s="11">
        <v>38</v>
      </c>
      <c r="B46" s="12">
        <v>110</v>
      </c>
      <c r="C46" s="12">
        <f t="shared" si="0"/>
        <v>104</v>
      </c>
      <c r="D46" s="12">
        <v>117</v>
      </c>
      <c r="E46" s="13">
        <v>14</v>
      </c>
      <c r="F46" s="13">
        <v>3.54</v>
      </c>
      <c r="G46" s="14">
        <f t="shared" si="1"/>
        <v>0.04</v>
      </c>
      <c r="H46" s="14">
        <f t="shared" si="6"/>
        <v>106.477288949267</v>
      </c>
      <c r="I46" s="14">
        <f t="shared" si="7"/>
        <v>14.1664888108061</v>
      </c>
      <c r="J46" s="14">
        <f t="shared" si="8"/>
        <v>104.643287703105</v>
      </c>
      <c r="K46" s="14">
        <f t="shared" si="9"/>
        <v>27.5433057246199</v>
      </c>
      <c r="L46" s="14">
        <f t="shared" si="2"/>
        <v>29.0433057246199</v>
      </c>
      <c r="M46" s="14">
        <f t="shared" si="10"/>
        <v>-14.1664888108061</v>
      </c>
      <c r="N46" s="14">
        <f t="shared" si="11"/>
        <v>104.643287703105</v>
      </c>
      <c r="O46" s="14">
        <f t="shared" si="12"/>
        <v>0.146343845358188</v>
      </c>
      <c r="P46" s="14" t="str">
        <f t="shared" si="3"/>
        <v>14.17,104.64</v>
      </c>
      <c r="Q46" s="14" t="str">
        <f t="shared" si="4"/>
        <v>106.48,27.54</v>
      </c>
      <c r="R46" s="31" t="str">
        <f t="shared" si="5"/>
        <v>14.17,104.64,27.54</v>
      </c>
    </row>
    <row r="47" ht="15.6" spans="1:18">
      <c r="A47" s="11">
        <v>39</v>
      </c>
      <c r="B47" s="12">
        <v>113</v>
      </c>
      <c r="C47" s="12">
        <f t="shared" si="0"/>
        <v>103.69</v>
      </c>
      <c r="D47" s="12">
        <v>120</v>
      </c>
      <c r="E47" s="13">
        <v>13.69</v>
      </c>
      <c r="F47" s="13">
        <v>4.26</v>
      </c>
      <c r="G47" s="14">
        <f t="shared" si="1"/>
        <v>0.76</v>
      </c>
      <c r="H47" s="14">
        <f t="shared" si="6"/>
        <v>109.390128859269</v>
      </c>
      <c r="I47" s="14">
        <f t="shared" si="7"/>
        <v>14.1868241044241</v>
      </c>
      <c r="J47" s="14">
        <f t="shared" si="8"/>
        <v>107.556056629252</v>
      </c>
      <c r="K47" s="14">
        <f t="shared" si="9"/>
        <v>28.2611940576508</v>
      </c>
      <c r="L47" s="14">
        <f t="shared" si="2"/>
        <v>29.7611940576508</v>
      </c>
      <c r="M47" s="14">
        <f t="shared" si="10"/>
        <v>-14.1868241044242</v>
      </c>
      <c r="N47" s="14">
        <f t="shared" si="11"/>
        <v>107.556056629252</v>
      </c>
      <c r="O47" s="14">
        <f t="shared" si="12"/>
        <v>0.254910283895673</v>
      </c>
      <c r="P47" s="14" t="str">
        <f t="shared" si="3"/>
        <v>14.19,107.56</v>
      </c>
      <c r="Q47" s="14" t="str">
        <f t="shared" si="4"/>
        <v>109.39,28.26</v>
      </c>
      <c r="R47" s="31" t="str">
        <f t="shared" si="5"/>
        <v>14.19,107.56,28.26</v>
      </c>
    </row>
    <row r="48" ht="15.6" spans="1:18">
      <c r="A48" s="11">
        <v>40</v>
      </c>
      <c r="B48" s="12">
        <v>116</v>
      </c>
      <c r="C48" s="12">
        <f t="shared" si="0"/>
        <v>104.52</v>
      </c>
      <c r="D48" s="12">
        <v>123</v>
      </c>
      <c r="E48" s="13">
        <v>14.52</v>
      </c>
      <c r="F48" s="13">
        <v>3.84</v>
      </c>
      <c r="G48" s="14">
        <f t="shared" si="1"/>
        <v>0.34</v>
      </c>
      <c r="H48" s="14">
        <f t="shared" si="6"/>
        <v>112.299681115783</v>
      </c>
      <c r="I48" s="14">
        <f t="shared" si="7"/>
        <v>14.2147533721368</v>
      </c>
      <c r="J48" s="14">
        <f t="shared" si="8"/>
        <v>110.465474833875</v>
      </c>
      <c r="K48" s="14">
        <f t="shared" si="9"/>
        <v>28.9922930021256</v>
      </c>
      <c r="L48" s="14">
        <f t="shared" si="2"/>
        <v>30.4922930021256</v>
      </c>
      <c r="M48" s="14">
        <f t="shared" si="10"/>
        <v>-14.2147533721368</v>
      </c>
      <c r="N48" s="14">
        <f t="shared" si="11"/>
        <v>110.465474833875</v>
      </c>
      <c r="O48" s="14">
        <f t="shared" si="12"/>
        <v>0.308188289049299</v>
      </c>
      <c r="P48" s="14" t="str">
        <f t="shared" si="3"/>
        <v>14.21,110.47</v>
      </c>
      <c r="Q48" s="14" t="str">
        <f t="shared" si="4"/>
        <v>112.3,28.99</v>
      </c>
      <c r="R48" s="31" t="str">
        <f t="shared" si="5"/>
        <v>14.21,110.47,28.99</v>
      </c>
    </row>
    <row r="49" ht="15.6" spans="1:18">
      <c r="A49" s="11">
        <v>41</v>
      </c>
      <c r="B49" s="12">
        <v>119</v>
      </c>
      <c r="C49" s="12">
        <f t="shared" si="0"/>
        <v>104.63</v>
      </c>
      <c r="D49" s="12">
        <v>126</v>
      </c>
      <c r="E49" s="13">
        <v>14.63</v>
      </c>
      <c r="F49" s="13">
        <v>3.61</v>
      </c>
      <c r="G49" s="14">
        <f t="shared" si="1"/>
        <v>0.11</v>
      </c>
      <c r="H49" s="14">
        <f t="shared" si="6"/>
        <v>115.203138308879</v>
      </c>
      <c r="I49" s="14">
        <f t="shared" si="7"/>
        <v>14.2261551925665</v>
      </c>
      <c r="J49" s="14">
        <f t="shared" si="8"/>
        <v>113.368909639521</v>
      </c>
      <c r="K49" s="14">
        <f t="shared" si="9"/>
        <v>29.7472342765674</v>
      </c>
      <c r="L49" s="14">
        <f t="shared" si="2"/>
        <v>31.2472342765674</v>
      </c>
      <c r="M49" s="14">
        <f t="shared" si="10"/>
        <v>-14.2261551925665</v>
      </c>
      <c r="N49" s="14">
        <f t="shared" si="11"/>
        <v>113.368909639521</v>
      </c>
      <c r="O49" s="14">
        <f t="shared" si="12"/>
        <v>0.0827647391352598</v>
      </c>
      <c r="P49" s="14" t="str">
        <f t="shared" si="3"/>
        <v>14.23,113.37</v>
      </c>
      <c r="Q49" s="14" t="str">
        <f t="shared" si="4"/>
        <v>115.2,29.75</v>
      </c>
      <c r="R49" s="31" t="str">
        <f t="shared" si="5"/>
        <v>14.23,113.37,29.75</v>
      </c>
    </row>
    <row r="50" ht="15.6" spans="1:18">
      <c r="A50" s="11">
        <v>42</v>
      </c>
      <c r="B50" s="12">
        <v>122</v>
      </c>
      <c r="C50" s="12">
        <f t="shared" si="0"/>
        <v>105.31</v>
      </c>
      <c r="D50" s="12">
        <v>129</v>
      </c>
      <c r="E50" s="13">
        <v>15.31</v>
      </c>
      <c r="F50" s="13">
        <v>3.61</v>
      </c>
      <c r="G50" s="14">
        <f t="shared" si="1"/>
        <v>0.11</v>
      </c>
      <c r="H50" s="14">
        <f t="shared" si="6"/>
        <v>118.101321942512</v>
      </c>
      <c r="I50" s="14">
        <f t="shared" si="7"/>
        <v>14.2317193022892</v>
      </c>
      <c r="J50" s="14">
        <f t="shared" si="8"/>
        <v>116.267087931991</v>
      </c>
      <c r="K50" s="14">
        <f t="shared" si="9"/>
        <v>30.5221740327694</v>
      </c>
      <c r="L50" s="14">
        <f t="shared" si="2"/>
        <v>32.0221740327694</v>
      </c>
      <c r="M50" s="14">
        <f t="shared" si="10"/>
        <v>-14.2317193022892</v>
      </c>
      <c r="N50" s="14">
        <f t="shared" si="11"/>
        <v>116.267087931991</v>
      </c>
      <c r="O50" s="14">
        <f t="shared" si="12"/>
        <v>0.226666666666763</v>
      </c>
      <c r="P50" s="14" t="str">
        <f t="shared" si="3"/>
        <v>14.23,116.27</v>
      </c>
      <c r="Q50" s="14" t="str">
        <f t="shared" si="4"/>
        <v>118.1,30.52</v>
      </c>
      <c r="R50" s="31" t="str">
        <f t="shared" si="5"/>
        <v>14.23,116.27,30.52</v>
      </c>
    </row>
    <row r="51" ht="15.6" spans="1:18">
      <c r="A51" s="11">
        <v>43</v>
      </c>
      <c r="B51" s="12">
        <v>125</v>
      </c>
      <c r="C51" s="12">
        <f t="shared" si="0"/>
        <v>106.24</v>
      </c>
      <c r="D51" s="12">
        <v>132</v>
      </c>
      <c r="E51" s="13">
        <v>16.24</v>
      </c>
      <c r="F51" s="13">
        <v>2.58</v>
      </c>
      <c r="G51" s="14">
        <f t="shared" si="1"/>
        <v>-0.92</v>
      </c>
      <c r="H51" s="14">
        <f t="shared" si="6"/>
        <v>120.98833206231</v>
      </c>
      <c r="I51" s="14">
        <f t="shared" si="7"/>
        <v>14.211312400216</v>
      </c>
      <c r="J51" s="14">
        <f t="shared" si="8"/>
        <v>119.154025927542</v>
      </c>
      <c r="K51" s="14">
        <f t="shared" si="9"/>
        <v>31.3377551557654</v>
      </c>
      <c r="L51" s="14">
        <f t="shared" si="2"/>
        <v>32.8377551557654</v>
      </c>
      <c r="M51" s="14">
        <f t="shared" si="10"/>
        <v>-14.211312400216</v>
      </c>
      <c r="N51" s="14">
        <f t="shared" si="11"/>
        <v>119.154025927542</v>
      </c>
      <c r="O51" s="14">
        <f t="shared" si="12"/>
        <v>0.453059015589205</v>
      </c>
      <c r="P51" s="14" t="str">
        <f t="shared" si="3"/>
        <v>14.21,119.15</v>
      </c>
      <c r="Q51" s="14" t="str">
        <f t="shared" si="4"/>
        <v>120.99,31.34</v>
      </c>
      <c r="R51" s="31" t="str">
        <f t="shared" si="5"/>
        <v>14.21,119.15,31.34</v>
      </c>
    </row>
    <row r="52" ht="15.6" spans="1:18">
      <c r="A52" s="11">
        <v>44</v>
      </c>
      <c r="B52" s="12">
        <v>128</v>
      </c>
      <c r="C52" s="12">
        <f t="shared" si="0"/>
        <v>105.24</v>
      </c>
      <c r="D52" s="12">
        <v>135</v>
      </c>
      <c r="E52" s="13">
        <v>15.24</v>
      </c>
      <c r="F52" s="13">
        <v>2.56</v>
      </c>
      <c r="G52" s="14">
        <f t="shared" si="1"/>
        <v>-0.94</v>
      </c>
      <c r="H52" s="14">
        <f t="shared" si="6"/>
        <v>123.87583985358</v>
      </c>
      <c r="I52" s="14">
        <f t="shared" si="7"/>
        <v>14.1644456963592</v>
      </c>
      <c r="J52" s="14">
        <f t="shared" si="8"/>
        <v>122.041153350556</v>
      </c>
      <c r="K52" s="14">
        <f t="shared" si="9"/>
        <v>32.151572552577</v>
      </c>
      <c r="L52" s="14">
        <f t="shared" si="2"/>
        <v>33.651572552577</v>
      </c>
      <c r="M52" s="14">
        <f t="shared" si="10"/>
        <v>-14.1644456963592</v>
      </c>
      <c r="N52" s="14">
        <f t="shared" si="11"/>
        <v>122.041153350556</v>
      </c>
      <c r="O52" s="14">
        <f t="shared" si="12"/>
        <v>0.333395086421567</v>
      </c>
      <c r="P52" s="14" t="str">
        <f t="shared" si="3"/>
        <v>14.16,122.04</v>
      </c>
      <c r="Q52" s="14" t="str">
        <f t="shared" si="4"/>
        <v>123.88,32.15</v>
      </c>
      <c r="R52" s="31" t="str">
        <f t="shared" si="5"/>
        <v>14.16,122.04,32.15</v>
      </c>
    </row>
    <row r="53" ht="15.6" spans="1:18">
      <c r="A53" s="11">
        <v>45</v>
      </c>
      <c r="B53" s="12">
        <v>131</v>
      </c>
      <c r="C53" s="12">
        <f t="shared" si="0"/>
        <v>104.62</v>
      </c>
      <c r="D53" s="12">
        <v>138</v>
      </c>
      <c r="E53" s="13">
        <v>14.62</v>
      </c>
      <c r="F53" s="13">
        <v>3.84</v>
      </c>
      <c r="G53" s="14">
        <f t="shared" si="1"/>
        <v>0.34</v>
      </c>
      <c r="H53" s="14">
        <f t="shared" si="6"/>
        <v>126.774563790909</v>
      </c>
      <c r="I53" s="14">
        <f t="shared" si="7"/>
        <v>14.1492680826661</v>
      </c>
      <c r="J53" s="14">
        <f t="shared" si="8"/>
        <v>124.939837552894</v>
      </c>
      <c r="K53" s="14">
        <f t="shared" si="9"/>
        <v>32.9244888062258</v>
      </c>
      <c r="L53" s="14">
        <f t="shared" si="2"/>
        <v>34.4244888062258</v>
      </c>
      <c r="M53" s="14">
        <f t="shared" si="10"/>
        <v>-14.1492680826661</v>
      </c>
      <c r="N53" s="14">
        <f t="shared" si="11"/>
        <v>124.939837552894</v>
      </c>
      <c r="O53" s="14">
        <f t="shared" si="12"/>
        <v>0.461160902317327</v>
      </c>
      <c r="P53" s="14" t="str">
        <f t="shared" si="3"/>
        <v>14.15,124.94</v>
      </c>
      <c r="Q53" s="14" t="str">
        <f t="shared" si="4"/>
        <v>126.77,32.92</v>
      </c>
      <c r="R53" s="31" t="str">
        <f t="shared" si="5"/>
        <v>14.15,124.94,32.92</v>
      </c>
    </row>
    <row r="54" ht="15.6" spans="1:18">
      <c r="A54" s="11">
        <v>46</v>
      </c>
      <c r="B54" s="12">
        <v>134</v>
      </c>
      <c r="C54" s="12">
        <f t="shared" si="0"/>
        <v>103.22</v>
      </c>
      <c r="D54" s="12">
        <v>141</v>
      </c>
      <c r="E54" s="13">
        <v>13.22</v>
      </c>
      <c r="F54" s="13">
        <v>4.25</v>
      </c>
      <c r="G54" s="14">
        <f t="shared" si="1"/>
        <v>0.75</v>
      </c>
      <c r="H54" s="14">
        <f t="shared" si="6"/>
        <v>129.686461492013</v>
      </c>
      <c r="I54" s="14">
        <f t="shared" si="7"/>
        <v>14.1769657652745</v>
      </c>
      <c r="J54" s="14">
        <f t="shared" si="8"/>
        <v>127.851603522211</v>
      </c>
      <c r="K54" s="14">
        <f t="shared" si="9"/>
        <v>33.6461894216528</v>
      </c>
      <c r="L54" s="14">
        <f t="shared" si="2"/>
        <v>35.1461894216528</v>
      </c>
      <c r="M54" s="14">
        <f t="shared" si="10"/>
        <v>-14.1769657652745</v>
      </c>
      <c r="N54" s="14">
        <f t="shared" si="11"/>
        <v>127.851603522211</v>
      </c>
      <c r="O54" s="14">
        <f t="shared" si="12"/>
        <v>0.485153157401365</v>
      </c>
      <c r="P54" s="14" t="str">
        <f t="shared" si="3"/>
        <v>14.18,127.85</v>
      </c>
      <c r="Q54" s="14" t="str">
        <f t="shared" si="4"/>
        <v>129.69,33.65</v>
      </c>
      <c r="R54" s="31" t="str">
        <f t="shared" si="5"/>
        <v>14.18,127.85,33.65</v>
      </c>
    </row>
    <row r="55" ht="15.6" spans="1:18">
      <c r="A55" s="11">
        <v>47</v>
      </c>
      <c r="B55" s="12">
        <v>137</v>
      </c>
      <c r="C55" s="12">
        <f t="shared" si="0"/>
        <v>103.01</v>
      </c>
      <c r="D55" s="12">
        <v>144</v>
      </c>
      <c r="E55" s="13">
        <v>13.01</v>
      </c>
      <c r="F55" s="13">
        <v>4.36</v>
      </c>
      <c r="G55" s="14">
        <f t="shared" si="1"/>
        <v>0.86</v>
      </c>
      <c r="H55" s="14">
        <f t="shared" si="6"/>
        <v>132.608211282199</v>
      </c>
      <c r="I55" s="14">
        <f t="shared" si="7"/>
        <v>14.2180147085105</v>
      </c>
      <c r="J55" s="14">
        <f t="shared" si="8"/>
        <v>130.773064940869</v>
      </c>
      <c r="K55" s="14">
        <f t="shared" si="9"/>
        <v>34.3269082795888</v>
      </c>
      <c r="L55" s="14">
        <f t="shared" si="2"/>
        <v>35.8269082795888</v>
      </c>
      <c r="M55" s="14">
        <f t="shared" si="10"/>
        <v>-14.2180147085105</v>
      </c>
      <c r="N55" s="14">
        <f t="shared" si="11"/>
        <v>130.773064940869</v>
      </c>
      <c r="O55" s="14">
        <f t="shared" si="12"/>
        <v>0.078582581248243</v>
      </c>
      <c r="P55" s="14" t="str">
        <f t="shared" si="3"/>
        <v>14.22,130.77</v>
      </c>
      <c r="Q55" s="14" t="str">
        <f t="shared" si="4"/>
        <v>132.61,34.33</v>
      </c>
      <c r="R55" s="31" t="str">
        <f t="shared" si="5"/>
        <v>14.22,130.77,34.33</v>
      </c>
    </row>
    <row r="56" ht="15.6" spans="1:18">
      <c r="A56" s="11">
        <v>48</v>
      </c>
      <c r="B56" s="12">
        <v>140</v>
      </c>
      <c r="C56" s="12">
        <f t="shared" si="0"/>
        <v>102.62</v>
      </c>
      <c r="D56" s="12">
        <v>147</v>
      </c>
      <c r="E56" s="13">
        <v>12.62</v>
      </c>
      <c r="F56" s="13">
        <v>4.28</v>
      </c>
      <c r="G56" s="14">
        <f t="shared" si="1"/>
        <v>0.78</v>
      </c>
      <c r="H56" s="14">
        <f t="shared" si="6"/>
        <v>135.533485241081</v>
      </c>
      <c r="I56" s="14">
        <f t="shared" si="7"/>
        <v>14.2598789222649</v>
      </c>
      <c r="J56" s="14">
        <f t="shared" si="8"/>
        <v>133.698039320607</v>
      </c>
      <c r="K56" s="14">
        <f t="shared" si="9"/>
        <v>34.9923196301734</v>
      </c>
      <c r="L56" s="14">
        <f t="shared" si="2"/>
        <v>36.4923196301734</v>
      </c>
      <c r="M56" s="14">
        <f t="shared" si="10"/>
        <v>-14.2598789222649</v>
      </c>
      <c r="N56" s="14">
        <f t="shared" si="11"/>
        <v>133.698039320607</v>
      </c>
      <c r="O56" s="14">
        <f t="shared" si="12"/>
        <v>0.132574973560782</v>
      </c>
      <c r="P56" s="14" t="str">
        <f t="shared" si="3"/>
        <v>14.26,133.7</v>
      </c>
      <c r="Q56" s="14" t="str">
        <f t="shared" si="4"/>
        <v>135.53,34.99</v>
      </c>
      <c r="R56" s="31" t="str">
        <f t="shared" si="5"/>
        <v>14.26,133.7,34.99</v>
      </c>
    </row>
    <row r="57" ht="15.6" spans="1:18">
      <c r="A57" s="11">
        <v>49</v>
      </c>
      <c r="B57" s="12">
        <v>143</v>
      </c>
      <c r="C57" s="12">
        <f t="shared" si="0"/>
        <v>102.31</v>
      </c>
      <c r="D57" s="12">
        <v>150</v>
      </c>
      <c r="E57" s="13">
        <v>12.31</v>
      </c>
      <c r="F57" s="13">
        <v>3.69</v>
      </c>
      <c r="G57" s="14">
        <f t="shared" si="1"/>
        <v>0.19</v>
      </c>
      <c r="H57" s="14">
        <f t="shared" si="6"/>
        <v>138.462769362258</v>
      </c>
      <c r="I57" s="14">
        <f t="shared" si="7"/>
        <v>14.2846745676769</v>
      </c>
      <c r="J57" s="14">
        <f t="shared" si="8"/>
        <v>136.627218495487</v>
      </c>
      <c r="K57" s="14">
        <f t="shared" si="9"/>
        <v>35.6398491950714</v>
      </c>
      <c r="L57" s="14">
        <f t="shared" si="2"/>
        <v>37.1398491950714</v>
      </c>
      <c r="M57" s="14">
        <f t="shared" si="10"/>
        <v>-14.2846745676769</v>
      </c>
      <c r="N57" s="14">
        <f t="shared" si="11"/>
        <v>136.627218495487</v>
      </c>
      <c r="O57" s="14">
        <f t="shared" si="12"/>
        <v>0.218067663841504</v>
      </c>
      <c r="P57" s="14" t="str">
        <f t="shared" si="3"/>
        <v>14.28,136.63</v>
      </c>
      <c r="Q57" s="14" t="str">
        <f t="shared" si="4"/>
        <v>138.46,35.64</v>
      </c>
      <c r="R57" s="31" t="str">
        <f t="shared" si="5"/>
        <v>14.28,136.63,35.64</v>
      </c>
    </row>
    <row r="58" ht="15.6" spans="1:18">
      <c r="A58" s="11">
        <v>50</v>
      </c>
      <c r="B58" s="12">
        <v>146</v>
      </c>
      <c r="C58" s="12">
        <f t="shared" si="0"/>
        <v>101.25</v>
      </c>
      <c r="D58" s="12">
        <v>153</v>
      </c>
      <c r="E58" s="13">
        <v>11.25</v>
      </c>
      <c r="F58" s="13">
        <v>2.84</v>
      </c>
      <c r="G58" s="14">
        <f t="shared" si="1"/>
        <v>-0.66</v>
      </c>
      <c r="H58" s="14">
        <f t="shared" si="6"/>
        <v>141.399585497396</v>
      </c>
      <c r="I58" s="14">
        <f t="shared" si="7"/>
        <v>14.2726291803445</v>
      </c>
      <c r="J58" s="14">
        <f t="shared" si="8"/>
        <v>139.564009928369</v>
      </c>
      <c r="K58" s="14">
        <f t="shared" si="9"/>
        <v>36.2523122457093</v>
      </c>
      <c r="L58" s="14">
        <f t="shared" si="2"/>
        <v>37.7523122457093</v>
      </c>
      <c r="M58" s="14">
        <f t="shared" si="10"/>
        <v>-14.2726291803445</v>
      </c>
      <c r="N58" s="14">
        <f t="shared" si="11"/>
        <v>139.564009928369</v>
      </c>
      <c r="O58" s="14">
        <f t="shared" si="12"/>
        <v>0.449192370158877</v>
      </c>
      <c r="P58" s="14" t="str">
        <f t="shared" si="3"/>
        <v>14.27,139.56</v>
      </c>
      <c r="Q58" s="14" t="str">
        <f t="shared" si="4"/>
        <v>141.4,36.25</v>
      </c>
      <c r="R58" s="31" t="str">
        <f t="shared" si="5"/>
        <v>14.27,139.56,36.25</v>
      </c>
    </row>
    <row r="59" ht="15.6" spans="1:18">
      <c r="A59" s="11">
        <v>51</v>
      </c>
      <c r="B59" s="12">
        <v>149</v>
      </c>
      <c r="C59" s="12">
        <f t="shared" si="0"/>
        <v>102.61</v>
      </c>
      <c r="D59" s="12">
        <v>156</v>
      </c>
      <c r="E59" s="13">
        <v>12.61</v>
      </c>
      <c r="F59" s="13">
        <v>2.67</v>
      </c>
      <c r="G59" s="14">
        <f t="shared" si="1"/>
        <v>-0.83</v>
      </c>
      <c r="H59" s="14">
        <f t="shared" si="6"/>
        <v>144.334788145543</v>
      </c>
      <c r="I59" s="14">
        <f t="shared" si="7"/>
        <v>14.2344646877139</v>
      </c>
      <c r="J59" s="14">
        <f t="shared" si="8"/>
        <v>142.49896445224</v>
      </c>
      <c r="K59" s="14">
        <f t="shared" si="9"/>
        <v>36.8724617553504</v>
      </c>
      <c r="L59" s="14">
        <f t="shared" si="2"/>
        <v>38.3724617553504</v>
      </c>
      <c r="M59" s="14">
        <f t="shared" si="10"/>
        <v>-14.2344646877139</v>
      </c>
      <c r="N59" s="14">
        <f t="shared" si="11"/>
        <v>142.49896445224</v>
      </c>
      <c r="O59" s="14">
        <f t="shared" si="12"/>
        <v>0.456710895637423</v>
      </c>
      <c r="P59" s="14" t="str">
        <f t="shared" si="3"/>
        <v>14.23,142.5</v>
      </c>
      <c r="Q59" s="14" t="str">
        <f t="shared" si="4"/>
        <v>144.33,36.87</v>
      </c>
      <c r="R59" s="31" t="str">
        <f t="shared" si="5"/>
        <v>14.23,142.5,36.87</v>
      </c>
    </row>
    <row r="60" ht="15.6" spans="1:18">
      <c r="A60" s="11">
        <v>52</v>
      </c>
      <c r="B60" s="12">
        <v>152</v>
      </c>
      <c r="C60" s="12">
        <f t="shared" si="0"/>
        <v>103.61</v>
      </c>
      <c r="D60" s="12">
        <v>159</v>
      </c>
      <c r="E60" s="13">
        <v>13.61</v>
      </c>
      <c r="F60" s="13">
        <v>1.55</v>
      </c>
      <c r="G60" s="14">
        <f t="shared" si="1"/>
        <v>-1.95</v>
      </c>
      <c r="H60" s="14">
        <f t="shared" si="6"/>
        <v>147.25659732853</v>
      </c>
      <c r="I60" s="14">
        <f t="shared" si="7"/>
        <v>14.1635883259895</v>
      </c>
      <c r="J60" s="14">
        <f t="shared" si="8"/>
        <v>145.419913860076</v>
      </c>
      <c r="K60" s="14">
        <f t="shared" si="9"/>
        <v>37.552925639926</v>
      </c>
      <c r="L60" s="14">
        <f t="shared" si="2"/>
        <v>39.052925639926</v>
      </c>
      <c r="M60" s="14">
        <f t="shared" si="10"/>
        <v>-14.1635883259895</v>
      </c>
      <c r="N60" s="14">
        <f t="shared" si="11"/>
        <v>145.419913860076</v>
      </c>
      <c r="O60" s="14">
        <f t="shared" si="12"/>
        <v>0.493268766657231</v>
      </c>
      <c r="P60" s="14" t="str">
        <f t="shared" si="3"/>
        <v>14.16,145.42</v>
      </c>
      <c r="Q60" s="14" t="str">
        <f t="shared" si="4"/>
        <v>147.26,37.55</v>
      </c>
      <c r="R60" s="31" t="str">
        <f t="shared" si="5"/>
        <v>14.16,145.42,37.55</v>
      </c>
    </row>
    <row r="61" ht="15.6" spans="1:18">
      <c r="A61" s="11">
        <v>53</v>
      </c>
      <c r="B61" s="12">
        <v>155</v>
      </c>
      <c r="C61" s="12">
        <f t="shared" si="0"/>
        <v>103.54</v>
      </c>
      <c r="D61" s="12">
        <v>162</v>
      </c>
      <c r="E61" s="13">
        <v>13.54</v>
      </c>
      <c r="F61" s="13">
        <v>2.61</v>
      </c>
      <c r="G61" s="14">
        <f t="shared" si="1"/>
        <v>-0.89</v>
      </c>
      <c r="H61" s="14">
        <f t="shared" si="6"/>
        <v>150.172787852991</v>
      </c>
      <c r="I61" s="14">
        <f t="shared" si="7"/>
        <v>14.0913218052711</v>
      </c>
      <c r="J61" s="14">
        <f t="shared" si="8"/>
        <v>148.335208823701</v>
      </c>
      <c r="K61" s="14">
        <f t="shared" si="9"/>
        <v>38.257079618148</v>
      </c>
      <c r="L61" s="14">
        <f t="shared" si="2"/>
        <v>39.757079618148</v>
      </c>
      <c r="M61" s="14">
        <f t="shared" si="10"/>
        <v>-14.0913218052711</v>
      </c>
      <c r="N61" s="14">
        <f t="shared" si="11"/>
        <v>148.335208823701</v>
      </c>
      <c r="O61" s="14">
        <f t="shared" si="12"/>
        <v>0.344253815098573</v>
      </c>
      <c r="P61" s="14" t="str">
        <f t="shared" si="3"/>
        <v>14.09,148.34</v>
      </c>
      <c r="Q61" s="14" t="str">
        <f t="shared" si="4"/>
        <v>150.17,38.26</v>
      </c>
      <c r="R61" s="31" t="str">
        <f t="shared" si="5"/>
        <v>14.09,148.34,38.26</v>
      </c>
    </row>
    <row r="62" ht="15.6" spans="1:18">
      <c r="A62" s="11">
        <v>54</v>
      </c>
      <c r="B62" s="12">
        <v>158</v>
      </c>
      <c r="C62" s="12">
        <f t="shared" si="0"/>
        <v>102.84</v>
      </c>
      <c r="D62" s="12">
        <v>165</v>
      </c>
      <c r="E62" s="13">
        <v>12.84</v>
      </c>
      <c r="F62" s="13">
        <v>2.99</v>
      </c>
      <c r="G62" s="14">
        <f t="shared" si="1"/>
        <v>-0.51</v>
      </c>
      <c r="H62" s="14">
        <f t="shared" si="6"/>
        <v>153.09364408136</v>
      </c>
      <c r="I62" s="14">
        <f t="shared" si="7"/>
        <v>14.0556377022894</v>
      </c>
      <c r="J62" s="14">
        <f t="shared" si="8"/>
        <v>151.255847067579</v>
      </c>
      <c r="K62" s="14">
        <f t="shared" si="9"/>
        <v>38.9416224533271</v>
      </c>
      <c r="L62" s="14">
        <f t="shared" si="2"/>
        <v>40.4416224533271</v>
      </c>
      <c r="M62" s="14">
        <f t="shared" si="10"/>
        <v>-14.0556377022895</v>
      </c>
      <c r="N62" s="14">
        <f t="shared" si="11"/>
        <v>151.255847067579</v>
      </c>
      <c r="O62" s="14">
        <f t="shared" si="12"/>
        <v>0.263919091515105</v>
      </c>
      <c r="P62" s="14" t="str">
        <f t="shared" si="3"/>
        <v>14.06,151.26</v>
      </c>
      <c r="Q62" s="14" t="str">
        <f t="shared" si="4"/>
        <v>153.09,38.94</v>
      </c>
      <c r="R62" s="31" t="str">
        <f t="shared" si="5"/>
        <v>14.06,151.26,38.94</v>
      </c>
    </row>
    <row r="63" ht="15.6" spans="1:18">
      <c r="A63" s="11">
        <v>55</v>
      </c>
      <c r="B63" s="12">
        <v>161</v>
      </c>
      <c r="C63" s="12">
        <f t="shared" si="0"/>
        <v>103.63</v>
      </c>
      <c r="D63" s="12">
        <v>168</v>
      </c>
      <c r="E63" s="13">
        <v>13.63</v>
      </c>
      <c r="F63" s="13">
        <v>3.51</v>
      </c>
      <c r="G63" s="14">
        <f t="shared" si="1"/>
        <v>0.00999999999999979</v>
      </c>
      <c r="H63" s="14">
        <f t="shared" si="6"/>
        <v>156.013961770234</v>
      </c>
      <c r="I63" s="14">
        <f t="shared" si="7"/>
        <v>14.0428954530032</v>
      </c>
      <c r="J63" s="14">
        <f t="shared" si="8"/>
        <v>154.176136957133</v>
      </c>
      <c r="K63" s="14">
        <f t="shared" si="9"/>
        <v>39.6284591122575</v>
      </c>
      <c r="L63" s="14">
        <f t="shared" si="2"/>
        <v>41.1284591122575</v>
      </c>
      <c r="M63" s="14">
        <f t="shared" si="10"/>
        <v>-14.0428954530032</v>
      </c>
      <c r="N63" s="14">
        <f t="shared" si="11"/>
        <v>154.176136957133</v>
      </c>
      <c r="O63" s="14">
        <f t="shared" si="12"/>
        <v>0.31275156461764</v>
      </c>
      <c r="P63" s="14" t="str">
        <f t="shared" si="3"/>
        <v>14.04,154.18</v>
      </c>
      <c r="Q63" s="14" t="str">
        <f t="shared" si="4"/>
        <v>156.01,39.63</v>
      </c>
      <c r="R63" s="31" t="str">
        <f t="shared" si="5"/>
        <v>14.04,154.18,39.63</v>
      </c>
    </row>
    <row r="64" ht="15.6" spans="1:18">
      <c r="A64" s="11">
        <v>56</v>
      </c>
      <c r="B64" s="12">
        <v>164</v>
      </c>
      <c r="C64" s="12">
        <f t="shared" si="0"/>
        <v>104.55</v>
      </c>
      <c r="D64" s="12">
        <v>171</v>
      </c>
      <c r="E64" s="13">
        <v>14.55</v>
      </c>
      <c r="F64" s="13">
        <v>3.68</v>
      </c>
      <c r="G64" s="14">
        <f t="shared" si="1"/>
        <v>0.18</v>
      </c>
      <c r="H64" s="14">
        <f t="shared" si="6"/>
        <v>158.923705328294</v>
      </c>
      <c r="I64" s="14">
        <f t="shared" si="7"/>
        <v>14.0477199883129</v>
      </c>
      <c r="J64" s="14">
        <f t="shared" si="8"/>
        <v>157.0858765155</v>
      </c>
      <c r="K64" s="14">
        <f t="shared" si="9"/>
        <v>40.358796312687</v>
      </c>
      <c r="L64" s="14">
        <f t="shared" si="2"/>
        <v>41.858796312687</v>
      </c>
      <c r="M64" s="14">
        <f t="shared" si="10"/>
        <v>-14.0477199883129</v>
      </c>
      <c r="N64" s="14">
        <f t="shared" si="11"/>
        <v>157.0858765155</v>
      </c>
      <c r="O64" s="14">
        <f t="shared" si="12"/>
        <v>0.31155283517129</v>
      </c>
      <c r="P64" s="14" t="str">
        <f t="shared" si="3"/>
        <v>14.05,157.09</v>
      </c>
      <c r="Q64" s="14" t="str">
        <f t="shared" si="4"/>
        <v>158.92,40.36</v>
      </c>
      <c r="R64" s="31" t="str">
        <f t="shared" si="5"/>
        <v>14.05,157.09,40.36</v>
      </c>
    </row>
    <row r="65" ht="15.6" spans="1:18">
      <c r="A65" s="11">
        <v>57</v>
      </c>
      <c r="B65" s="12">
        <v>167</v>
      </c>
      <c r="C65" s="12">
        <f t="shared" si="0"/>
        <v>103.24</v>
      </c>
      <c r="D65" s="12">
        <v>174</v>
      </c>
      <c r="E65" s="13">
        <v>13.24</v>
      </c>
      <c r="F65" s="13">
        <v>3.49</v>
      </c>
      <c r="G65" s="14">
        <f t="shared" si="1"/>
        <v>-0.00999999999999979</v>
      </c>
      <c r="H65" s="14">
        <f t="shared" si="6"/>
        <v>161.835917653494</v>
      </c>
      <c r="I65" s="14">
        <f t="shared" si="7"/>
        <v>14.0520403406835</v>
      </c>
      <c r="J65" s="14">
        <f t="shared" si="8"/>
        <v>159.998085636014</v>
      </c>
      <c r="K65" s="14">
        <f t="shared" si="9"/>
        <v>41.0792263043944</v>
      </c>
      <c r="L65" s="14">
        <f t="shared" si="2"/>
        <v>42.5792263043944</v>
      </c>
      <c r="M65" s="14">
        <f t="shared" si="10"/>
        <v>-14.0520403406835</v>
      </c>
      <c r="N65" s="14">
        <f t="shared" si="11"/>
        <v>159.998085636014</v>
      </c>
      <c r="O65" s="14">
        <f t="shared" si="12"/>
        <v>0.440973216596981</v>
      </c>
      <c r="P65" s="14" t="str">
        <f t="shared" si="3"/>
        <v>14.05,160</v>
      </c>
      <c r="Q65" s="14" t="str">
        <f t="shared" si="4"/>
        <v>161.84,41.08</v>
      </c>
      <c r="R65" s="31" t="str">
        <f t="shared" si="5"/>
        <v>14.05,160,41.08</v>
      </c>
    </row>
    <row r="66" ht="15.6" spans="1:18">
      <c r="A66" s="11">
        <v>58</v>
      </c>
      <c r="B66" s="12">
        <v>170</v>
      </c>
      <c r="C66" s="12">
        <f t="shared" si="0"/>
        <v>102.63</v>
      </c>
      <c r="D66" s="12">
        <v>177</v>
      </c>
      <c r="E66" s="13">
        <v>12.63</v>
      </c>
      <c r="F66" s="13">
        <v>4.36</v>
      </c>
      <c r="G66" s="14">
        <f t="shared" si="1"/>
        <v>0.86</v>
      </c>
      <c r="H66" s="14">
        <f t="shared" si="6"/>
        <v>164.75979156328</v>
      </c>
      <c r="I66" s="14">
        <f t="shared" si="7"/>
        <v>14.0737284131186</v>
      </c>
      <c r="J66" s="14">
        <f t="shared" si="8"/>
        <v>162.921879108173</v>
      </c>
      <c r="K66" s="14">
        <f t="shared" si="9"/>
        <v>41.7507628705426</v>
      </c>
      <c r="L66" s="14">
        <f t="shared" si="2"/>
        <v>43.2507628705426</v>
      </c>
      <c r="M66" s="14">
        <f t="shared" si="10"/>
        <v>-14.0737284131186</v>
      </c>
      <c r="N66" s="14">
        <f t="shared" si="11"/>
        <v>162.921879108173</v>
      </c>
      <c r="O66" s="14">
        <f t="shared" si="12"/>
        <v>0.348180283998411</v>
      </c>
      <c r="P66" s="14" t="str">
        <f t="shared" si="3"/>
        <v>14.07,162.92</v>
      </c>
      <c r="Q66" s="14" t="str">
        <f t="shared" si="4"/>
        <v>164.76,41.75</v>
      </c>
      <c r="R66" s="31" t="str">
        <f t="shared" si="5"/>
        <v>14.07,162.92,41.75</v>
      </c>
    </row>
    <row r="67" ht="15.6" spans="1:18">
      <c r="A67" s="11">
        <v>59</v>
      </c>
      <c r="B67" s="12">
        <v>173</v>
      </c>
      <c r="C67" s="12">
        <f t="shared" si="0"/>
        <v>101.42</v>
      </c>
      <c r="D67" s="12">
        <v>180</v>
      </c>
      <c r="E67" s="13">
        <v>11.42</v>
      </c>
      <c r="F67" s="13">
        <v>4.14</v>
      </c>
      <c r="G67" s="14">
        <f t="shared" si="1"/>
        <v>0.64</v>
      </c>
      <c r="H67" s="14">
        <f t="shared" si="6"/>
        <v>167.693961930385</v>
      </c>
      <c r="I67" s="14">
        <f t="shared" si="7"/>
        <v>14.1121355165614</v>
      </c>
      <c r="J67" s="14">
        <f t="shared" si="8"/>
        <v>165.855798097784</v>
      </c>
      <c r="K67" s="14">
        <f t="shared" si="9"/>
        <v>42.3757782757953</v>
      </c>
      <c r="L67" s="14">
        <f t="shared" si="2"/>
        <v>43.8757782757953</v>
      </c>
      <c r="M67" s="14">
        <f t="shared" si="10"/>
        <v>-14.1121355165614</v>
      </c>
      <c r="N67" s="14">
        <f t="shared" si="11"/>
        <v>165.855798097784</v>
      </c>
      <c r="O67" s="14">
        <f t="shared" si="12"/>
        <v>0.409660732872938</v>
      </c>
      <c r="P67" s="14" t="str">
        <f t="shared" si="3"/>
        <v>14.11,165.86</v>
      </c>
      <c r="Q67" s="14" t="str">
        <f t="shared" si="4"/>
        <v>167.69,42.38</v>
      </c>
      <c r="R67" s="31" t="str">
        <f t="shared" si="5"/>
        <v>14.11,165.86,42.38</v>
      </c>
    </row>
    <row r="68" ht="15.6" spans="1:18">
      <c r="A68" s="11">
        <v>60</v>
      </c>
      <c r="B68" s="12">
        <v>176</v>
      </c>
      <c r="C68" s="12">
        <f t="shared" si="0"/>
        <v>100.62</v>
      </c>
      <c r="D68" s="12">
        <v>183</v>
      </c>
      <c r="E68" s="13">
        <v>10.62</v>
      </c>
      <c r="F68" s="13">
        <v>4.36</v>
      </c>
      <c r="G68" s="14">
        <f t="shared" si="1"/>
        <v>0.86</v>
      </c>
      <c r="H68" s="14">
        <f t="shared" si="6"/>
        <v>170.638643486607</v>
      </c>
      <c r="I68" s="14">
        <f t="shared" si="7"/>
        <v>14.1506802072188</v>
      </c>
      <c r="J68" s="14">
        <f t="shared" si="8"/>
        <v>168.800227375994</v>
      </c>
      <c r="K68" s="14">
        <f t="shared" si="9"/>
        <v>42.9492331846125</v>
      </c>
      <c r="L68" s="14">
        <f t="shared" si="2"/>
        <v>44.4492331846125</v>
      </c>
      <c r="M68" s="14">
        <f t="shared" si="10"/>
        <v>-14.1506802072188</v>
      </c>
      <c r="N68" s="14">
        <f t="shared" si="11"/>
        <v>168.800227375994</v>
      </c>
      <c r="O68" s="14">
        <f t="shared" si="12"/>
        <v>0.276210601823181</v>
      </c>
      <c r="P68" s="14" t="str">
        <f t="shared" si="3"/>
        <v>14.15,168.8</v>
      </c>
      <c r="Q68" s="14" t="str">
        <f t="shared" si="4"/>
        <v>170.64,42.95</v>
      </c>
      <c r="R68" s="31" t="str">
        <f t="shared" si="5"/>
        <v>14.15,168.8,42.95</v>
      </c>
    </row>
    <row r="69" ht="15.6" spans="1:18">
      <c r="A69" s="11">
        <v>61</v>
      </c>
      <c r="B69" s="12">
        <v>179</v>
      </c>
      <c r="C69" s="12">
        <f t="shared" si="0"/>
        <v>99.52</v>
      </c>
      <c r="D69" s="12">
        <v>186</v>
      </c>
      <c r="E69" s="13">
        <v>9.52</v>
      </c>
      <c r="F69" s="13">
        <v>4.94</v>
      </c>
      <c r="G69" s="14">
        <f t="shared" si="1"/>
        <v>1.44</v>
      </c>
      <c r="H69" s="14">
        <f t="shared" si="6"/>
        <v>173.592428087066</v>
      </c>
      <c r="I69" s="14">
        <f t="shared" si="7"/>
        <v>14.2099624833299</v>
      </c>
      <c r="J69" s="14">
        <f t="shared" si="8"/>
        <v>171.753417020708</v>
      </c>
      <c r="K69" s="14">
        <f t="shared" si="9"/>
        <v>43.4737868368636</v>
      </c>
      <c r="L69" s="14">
        <f t="shared" si="2"/>
        <v>44.9737868368636</v>
      </c>
      <c r="M69" s="14">
        <f t="shared" si="10"/>
        <v>-14.2099624833299</v>
      </c>
      <c r="N69" s="14">
        <f t="shared" si="11"/>
        <v>171.753417020708</v>
      </c>
      <c r="O69" s="14">
        <f t="shared" si="12"/>
        <v>0.413132237429618</v>
      </c>
      <c r="P69" s="14" t="str">
        <f t="shared" si="3"/>
        <v>14.21,171.75</v>
      </c>
      <c r="Q69" s="14" t="str">
        <f t="shared" si="4"/>
        <v>173.59,43.47</v>
      </c>
      <c r="R69" s="31" t="str">
        <f t="shared" si="5"/>
        <v>14.21,171.75,43.47</v>
      </c>
    </row>
    <row r="70" ht="15.6" spans="1:18">
      <c r="A70" s="11">
        <v>62</v>
      </c>
      <c r="B70" s="12">
        <v>182</v>
      </c>
      <c r="C70" s="12">
        <f t="shared" si="0"/>
        <v>98.99</v>
      </c>
      <c r="D70" s="12">
        <v>189</v>
      </c>
      <c r="E70" s="13">
        <v>8.99</v>
      </c>
      <c r="F70" s="13">
        <v>5.33</v>
      </c>
      <c r="G70" s="14">
        <f t="shared" si="1"/>
        <v>1.83</v>
      </c>
      <c r="H70" s="14">
        <f t="shared" si="6"/>
        <v>176.553375093167</v>
      </c>
      <c r="I70" s="14">
        <f t="shared" si="7"/>
        <v>14.294444994774</v>
      </c>
      <c r="J70" s="14">
        <f t="shared" si="8"/>
        <v>174.713158542902</v>
      </c>
      <c r="K70" s="14">
        <f t="shared" si="9"/>
        <v>43.9562729268831</v>
      </c>
      <c r="L70" s="14">
        <f t="shared" si="2"/>
        <v>45.4562729268831</v>
      </c>
      <c r="M70" s="14">
        <f t="shared" si="10"/>
        <v>-14.294444994774</v>
      </c>
      <c r="N70" s="14">
        <f t="shared" si="11"/>
        <v>174.713158542902</v>
      </c>
      <c r="O70" s="14">
        <f t="shared" si="12"/>
        <v>0.218343421078498</v>
      </c>
      <c r="P70" s="14" t="str">
        <f t="shared" si="3"/>
        <v>14.29,174.71</v>
      </c>
      <c r="Q70" s="14" t="str">
        <f t="shared" si="4"/>
        <v>176.55,43.96</v>
      </c>
      <c r="R70" s="31" t="str">
        <f t="shared" si="5"/>
        <v>14.29,174.71,43.96</v>
      </c>
    </row>
    <row r="71" ht="15.6" spans="1:18">
      <c r="A71" s="11">
        <v>63</v>
      </c>
      <c r="B71" s="12">
        <v>185</v>
      </c>
      <c r="C71" s="12">
        <f t="shared" si="0"/>
        <v>98.43</v>
      </c>
      <c r="D71" s="12">
        <v>192</v>
      </c>
      <c r="E71" s="13">
        <v>8.43</v>
      </c>
      <c r="F71" s="13">
        <v>5.62</v>
      </c>
      <c r="G71" s="14">
        <f t="shared" si="1"/>
        <v>2.12</v>
      </c>
      <c r="H71" s="14">
        <f t="shared" si="6"/>
        <v>179.518777508446</v>
      </c>
      <c r="I71" s="14">
        <f t="shared" si="7"/>
        <v>14.3966429240917</v>
      </c>
      <c r="J71" s="14">
        <f t="shared" si="8"/>
        <v>177.676799389527</v>
      </c>
      <c r="K71" s="14">
        <f t="shared" si="9"/>
        <v>44.4105729548995</v>
      </c>
      <c r="L71" s="14">
        <f t="shared" si="2"/>
        <v>45.9105729548995</v>
      </c>
      <c r="M71" s="14">
        <f t="shared" si="10"/>
        <v>-14.3966429240917</v>
      </c>
      <c r="N71" s="14">
        <f t="shared" si="11"/>
        <v>177.676799389527</v>
      </c>
      <c r="O71" s="14">
        <f t="shared" si="12"/>
        <v>0.209701033156233</v>
      </c>
      <c r="P71" s="14" t="str">
        <f t="shared" si="3"/>
        <v>14.4,177.68</v>
      </c>
      <c r="Q71" s="14" t="str">
        <f t="shared" si="4"/>
        <v>179.52,44.41</v>
      </c>
      <c r="R71" s="31" t="str">
        <f t="shared" si="5"/>
        <v>14.4,177.68,44.41</v>
      </c>
    </row>
    <row r="72" ht="15.6" spans="1:18">
      <c r="A72" s="11">
        <v>64</v>
      </c>
      <c r="B72" s="12">
        <v>188</v>
      </c>
      <c r="C72" s="12">
        <f t="shared" si="0"/>
        <v>98.01</v>
      </c>
      <c r="D72" s="12">
        <v>195</v>
      </c>
      <c r="E72" s="13">
        <v>8.01</v>
      </c>
      <c r="F72" s="13">
        <v>4.85</v>
      </c>
      <c r="G72" s="14">
        <f t="shared" si="1"/>
        <v>1.35</v>
      </c>
      <c r="H72" s="14">
        <f t="shared" si="6"/>
        <v>182.4879566596</v>
      </c>
      <c r="I72" s="14">
        <f t="shared" si="7"/>
        <v>14.4865402709925</v>
      </c>
      <c r="J72" s="14">
        <f t="shared" si="8"/>
        <v>180.644617325094</v>
      </c>
      <c r="K72" s="14">
        <f t="shared" si="9"/>
        <v>44.8394962211718</v>
      </c>
      <c r="L72" s="14">
        <f t="shared" si="2"/>
        <v>46.3394962211718</v>
      </c>
      <c r="M72" s="14">
        <f t="shared" si="10"/>
        <v>-14.4865402709925</v>
      </c>
      <c r="N72" s="14">
        <f t="shared" si="11"/>
        <v>180.644617325094</v>
      </c>
      <c r="O72" s="14">
        <f t="shared" si="12"/>
        <v>0.290053095248513</v>
      </c>
      <c r="P72" s="14" t="str">
        <f t="shared" si="3"/>
        <v>14.49,180.64</v>
      </c>
      <c r="Q72" s="14" t="str">
        <f t="shared" si="4"/>
        <v>182.49,44.84</v>
      </c>
      <c r="R72" s="31" t="str">
        <f t="shared" si="5"/>
        <v>14.49,180.64,44.84</v>
      </c>
    </row>
  </sheetData>
  <mergeCells count="38">
    <mergeCell ref="A1:R1"/>
    <mergeCell ref="A2:G2"/>
    <mergeCell ref="H2:I2"/>
    <mergeCell ref="J2:K2"/>
    <mergeCell ref="L2:O2"/>
    <mergeCell ref="P2:R2"/>
    <mergeCell ref="A3:G3"/>
    <mergeCell ref="H3:I3"/>
    <mergeCell ref="J3:K3"/>
    <mergeCell ref="L3:O3"/>
    <mergeCell ref="P3:R3"/>
    <mergeCell ref="A4:C4"/>
    <mergeCell ref="E4:G4"/>
    <mergeCell ref="P4:R4"/>
    <mergeCell ref="N6:O6"/>
    <mergeCell ref="A7:A8"/>
    <mergeCell ref="B7:B8"/>
    <mergeCell ref="C7:C8"/>
    <mergeCell ref="D7:D8"/>
    <mergeCell ref="E7:E8"/>
    <mergeCell ref="F7:F8"/>
    <mergeCell ref="G7:G8"/>
    <mergeCell ref="H4:H5"/>
    <mergeCell ref="H7:H8"/>
    <mergeCell ref="I4:I5"/>
    <mergeCell ref="I7:I8"/>
    <mergeCell ref="J4:J5"/>
    <mergeCell ref="J7:J8"/>
    <mergeCell ref="K4:K5"/>
    <mergeCell ref="K7:K8"/>
    <mergeCell ref="L4:L5"/>
    <mergeCell ref="L7:L8"/>
    <mergeCell ref="M4:M5"/>
    <mergeCell ref="M7:M8"/>
    <mergeCell ref="N7:N8"/>
    <mergeCell ref="O7:O8"/>
    <mergeCell ref="N4:O5"/>
    <mergeCell ref="P5:R6"/>
  </mergeCells>
  <pageMargins left="0.7" right="0.7" top="0.75" bottom="0.75" header="0.3" footer="0.3"/>
  <pageSetup paperSize="9" scale="46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3号孔实钻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95487</dc:creator>
  <cp:lastModifiedBy>zq</cp:lastModifiedBy>
  <dcterms:created xsi:type="dcterms:W3CDTF">2025-02-12T12:51:00Z</dcterms:created>
  <dcterms:modified xsi:type="dcterms:W3CDTF">2025-05-13T16:35:59Z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4906601BBEC04B18BC433A8094086D35_13</vt:lpwstr>
  </property>
  <property fmtid="{D5CDD505-2E9C-101B-9397-08002B2CF9AE}" pid="3" name="KSOProductBuildVer">
    <vt:lpwstr>2052-12.1.0.20784</vt:lpwstr>
  </property>
</Properties>
</file>