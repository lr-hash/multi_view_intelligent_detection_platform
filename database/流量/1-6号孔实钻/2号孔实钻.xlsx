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/>
  </bookViews>
  <sheets>
    <sheet name="2号孔实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<sst xmlns="http://schemas.openxmlformats.org/spreadsheetml/2006/main" count="45" uniqueCount="40">
  <si>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轨 迹 记 录 表</t>
  </si>
  <si>
    <t>施 工 单 位</t>
  </si>
  <si>
    <t>钻场编号</t>
  </si>
  <si>
    <t>钻孔编号</t>
  </si>
  <si>
    <t>日期</t>
  </si>
  <si>
    <t>施 工 人 员</t>
  </si>
  <si>
    <t>华电煤业集团数智技术有限公司</t>
  </si>
  <si>
    <t>2</t>
  </si>
  <si>
    <t>2025/2/10-2025/2/15</t>
  </si>
  <si>
    <t>柳欢、雷烨、韩杰、李凯、张鹏哲</t>
  </si>
  <si>
    <t>设计孔口坐标</t>
  </si>
  <si>
    <t>实钻孔口坐标</t>
  </si>
  <si>
    <t>坐标纵线网格方位(º)</t>
  </si>
  <si>
    <t>方位修正角(º)</t>
  </si>
  <si>
    <t>孔口高程</t>
  </si>
  <si>
    <t>闭合方位角(º)</t>
  </si>
  <si>
    <t>AutoCAD绘图比例</t>
  </si>
  <si>
    <t>设 计 施 工 说 明</t>
  </si>
  <si>
    <t>E(X)</t>
  </si>
  <si>
    <t>N(Y)</t>
  </si>
  <si>
    <t>Z</t>
  </si>
  <si>
    <t>测 点  序 号</t>
  </si>
  <si>
    <t>测　深　　(m)</t>
  </si>
  <si>
    <t>井斜角(º)</t>
  </si>
  <si>
    <t>孔深</t>
  </si>
  <si>
    <t>倾　角 (º)</t>
  </si>
  <si>
    <t>磁方位(º)</t>
  </si>
  <si>
    <t>网格方位(º)</t>
  </si>
  <si>
    <t>水平投影长度(m)</t>
  </si>
  <si>
    <t>E坐标 (X)</t>
  </si>
  <si>
    <t>N坐标 (Y)</t>
  </si>
  <si>
    <t>垂深(Z&amp;z)</t>
  </si>
  <si>
    <t>测点高程</t>
  </si>
  <si>
    <t>视平移(x)</t>
  </si>
  <si>
    <t>右偏移(y)</t>
  </si>
  <si>
    <t>全弯曲强度i(º/m)</t>
  </si>
  <si>
    <t>CAD绘平面图数据</t>
  </si>
  <si>
    <t>CAD绘剖面图数据</t>
  </si>
  <si>
    <t>CAD绘三维图数据</t>
  </si>
  <si>
    <t>pline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</si>
</sst>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0.00_ "/>
    <numFmt numFmtId="179" formatCode="0.0000_ "/>
  </numFmts>
  <fonts count="28"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8"/>
      <name val="宋体"/>
      <charset val="134"/>
    </font>
    <font>
      <b/>
      <sz val="16"/>
      <name val="黑体"/>
      <charset val="134"/>
    </font>
    <font>
      <sz val="12"/>
      <name val="宋体"/>
      <charset val="134"/>
    </font>
    <font>
      <sz val="10"/>
      <name val="宋体"/>
      <charset val="134"/>
      <scheme val="major"/>
    </font>
    <font>
      <b/>
      <sz val="12"/>
      <name val="黑体"/>
      <charset val="134"/>
    </font>
    <font>
      <sz val="11"/>
      <color rgb="FFFF0000"/>
      <name val="宋体"/>
      <charset val="134"/>
      <scheme val="minor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5" fillId="0" borderId="1" xfId="49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 wrapText="1"/>
    </xf>
    <xf numFmtId="14" fontId="3" fillId="0" borderId="5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>
      <alignment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14" fontId="6" fillId="0" borderId="5" xfId="0" applyNumberFormat="1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2"/>
  <sheetViews>
    <sheetView tabSelected="1" zoomScale="79" zoomScaleNormal="79" workbookViewId="0">
      <selection activeCell="A1" sqref="A1:R1"/>
    </sheetView>
  </sheetViews>
  <sheetFormatPr defaultColWidth="9" defaultRowHeight="14.4"/>
  <cols>
    <col min="2" max="4" width="8.33333333333333" customWidth="1"/>
    <col min="5" max="6" width="7.66666666666667" customWidth="1"/>
    <col min="7" max="7" width="8.33333333333333" customWidth="1"/>
    <col min="8" max="8" width="9.44444444444444" customWidth="1"/>
    <col min="9" max="9" width="9.77777777777778" customWidth="1"/>
    <col min="10" max="10" width="10.2222222222222" customWidth="1"/>
    <col min="12" max="12" width="8.77777777777778" customWidth="1"/>
    <col min="13" max="13" width="9.55555555555556" customWidth="1"/>
    <col min="14" max="14" width="9.77777777777778" customWidth="1"/>
    <col min="16" max="17" width="17.5555555555556" customWidth="1"/>
    <col min="18" max="18" width="20.8888888888889" customWidth="1"/>
  </cols>
  <sheetData>
    <row r="1" ht="25.8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.2" spans="1:18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2"/>
      <c r="J2" s="2" t="s">
        <v>3</v>
      </c>
      <c r="K2" s="2"/>
      <c r="L2" s="15" t="s">
        <v>4</v>
      </c>
      <c r="M2" s="16"/>
      <c r="N2" s="16"/>
      <c r="O2" s="17"/>
      <c r="P2" s="15" t="s">
        <v>5</v>
      </c>
      <c r="Q2" s="16"/>
      <c r="R2" s="28"/>
    </row>
    <row r="3" ht="20.4" spans="1:18">
      <c r="A3" s="3" t="s">
        <v>6</v>
      </c>
      <c r="B3" s="4"/>
      <c r="C3" s="4"/>
      <c r="D3" s="4"/>
      <c r="E3" s="4"/>
      <c r="F3" s="4"/>
      <c r="G3" s="4"/>
      <c r="H3" s="4">
        <v>1</v>
      </c>
      <c r="I3" s="4"/>
      <c r="J3" s="18" t="s">
        <v>7</v>
      </c>
      <c r="K3" s="18"/>
      <c r="L3" s="19" t="s">
        <v>8</v>
      </c>
      <c r="M3" s="20"/>
      <c r="N3" s="20"/>
      <c r="O3" s="21"/>
      <c r="P3" s="22" t="s">
        <v>9</v>
      </c>
      <c r="Q3" s="29"/>
      <c r="R3" s="30"/>
    </row>
    <row r="4" ht="22.2" spans="1:18">
      <c r="A4" s="5" t="s">
        <v>10</v>
      </c>
      <c r="B4" s="5"/>
      <c r="C4" s="5"/>
      <c r="D4" s="5"/>
      <c r="E4" s="5" t="s">
        <v>11</v>
      </c>
      <c r="F4" s="5"/>
      <c r="G4" s="5"/>
      <c r="H4" s="5"/>
      <c r="I4" s="5"/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/>
      <c r="P4" s="2" t="s">
        <v>17</v>
      </c>
      <c r="Q4" s="2"/>
      <c r="R4" s="2"/>
    </row>
    <row r="5" spans="1:18">
      <c r="A5" s="5" t="s">
        <v>18</v>
      </c>
      <c r="B5" s="5" t="s">
        <v>19</v>
      </c>
      <c r="C5" s="5" t="s">
        <v>20</v>
      </c>
      <c r="D5" s="5"/>
      <c r="E5" s="5" t="s">
        <v>18</v>
      </c>
      <c r="F5" s="5" t="s">
        <v>19</v>
      </c>
      <c r="G5" s="5" t="s">
        <v>20</v>
      </c>
      <c r="H5" s="5"/>
      <c r="I5" s="5"/>
      <c r="J5" s="7"/>
      <c r="K5" s="7"/>
      <c r="L5" s="7"/>
      <c r="M5" s="7"/>
      <c r="N5" s="7"/>
      <c r="O5" s="7"/>
      <c r="P5" s="23"/>
      <c r="Q5" s="23"/>
      <c r="R5" s="23"/>
    </row>
    <row r="6" ht="20.4" spans="1:18">
      <c r="A6" s="6">
        <v>0</v>
      </c>
      <c r="B6" s="6">
        <v>0</v>
      </c>
      <c r="C6" s="6">
        <v>0</v>
      </c>
      <c r="D6" s="6"/>
      <c r="E6" s="6">
        <v>0</v>
      </c>
      <c r="F6" s="6">
        <v>0</v>
      </c>
      <c r="G6" s="6">
        <v>0</v>
      </c>
      <c r="H6" s="6"/>
      <c r="I6" s="6"/>
      <c r="J6" s="5">
        <v>270</v>
      </c>
      <c r="K6" s="24">
        <v>-3.5</v>
      </c>
      <c r="L6" s="25">
        <v>1.5</v>
      </c>
      <c r="M6" s="6"/>
      <c r="N6" s="26">
        <v>0.001</v>
      </c>
      <c r="O6" s="26"/>
      <c r="P6" s="23"/>
      <c r="Q6" s="23"/>
      <c r="R6" s="23"/>
    </row>
    <row r="7" spans="1:18">
      <c r="A7" s="7" t="s">
        <v>21</v>
      </c>
      <c r="B7" s="8" t="s">
        <v>22</v>
      </c>
      <c r="C7" s="8" t="s">
        <v>23</v>
      </c>
      <c r="D7" s="9" t="s">
        <v>24</v>
      </c>
      <c r="E7" s="8" t="s">
        <v>25</v>
      </c>
      <c r="F7" s="8" t="s">
        <v>26</v>
      </c>
      <c r="G7" s="8" t="s">
        <v>27</v>
      </c>
      <c r="H7" s="8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7" t="s">
        <v>33</v>
      </c>
      <c r="N7" s="7" t="s">
        <v>34</v>
      </c>
      <c r="O7" s="7" t="s">
        <v>35</v>
      </c>
      <c r="P7" s="5" t="s">
        <v>36</v>
      </c>
      <c r="Q7" s="5" t="s">
        <v>37</v>
      </c>
      <c r="R7" s="5" t="s">
        <v>38</v>
      </c>
    </row>
    <row r="8" spans="1:18">
      <c r="A8" s="7"/>
      <c r="B8" s="8"/>
      <c r="C8" s="8"/>
      <c r="D8" s="10"/>
      <c r="E8" s="8"/>
      <c r="F8" s="8"/>
      <c r="G8" s="8"/>
      <c r="H8" s="8"/>
      <c r="I8" s="7"/>
      <c r="J8" s="7"/>
      <c r="K8" s="7"/>
      <c r="L8" s="7"/>
      <c r="M8" s="7"/>
      <c r="N8" s="7"/>
      <c r="O8" s="7"/>
      <c r="P8" s="27" t="s">
        <v>39</v>
      </c>
      <c r="Q8" s="27" t="s">
        <v>39</v>
      </c>
      <c r="R8" s="27" t="s">
        <v>39</v>
      </c>
    </row>
    <row r="9" ht="15.6" spans="1:18">
      <c r="A9" s="11">
        <v>1</v>
      </c>
      <c r="B9" s="12">
        <v>0</v>
      </c>
      <c r="C9" s="12">
        <f t="shared" ref="C9:C72" si="0">90+E9</f>
        <v>104.23</v>
      </c>
      <c r="D9" s="12">
        <v>0</v>
      </c>
      <c r="E9" s="13">
        <v>14.23</v>
      </c>
      <c r="F9" s="13">
        <v>23</v>
      </c>
      <c r="G9" s="14">
        <f t="shared" ref="G9:G72" si="1">F9-3.5</f>
        <v>19.5</v>
      </c>
      <c r="H9" s="14">
        <v>0</v>
      </c>
      <c r="I9" s="14">
        <f>A6+G6</f>
        <v>0</v>
      </c>
      <c r="J9" s="14">
        <f>B6+H6</f>
        <v>0</v>
      </c>
      <c r="K9" s="14">
        <f>E6+I6</f>
        <v>0</v>
      </c>
      <c r="L9" s="14">
        <f t="shared" ref="L9:L72" si="2">K9+$L$6</f>
        <v>1.5</v>
      </c>
      <c r="M9" s="14">
        <v>0</v>
      </c>
      <c r="N9" s="14">
        <v>0</v>
      </c>
      <c r="O9" s="14"/>
      <c r="P9" s="14" t="str">
        <f t="shared" ref="P9:P72" si="3">ROUND(I9,2)*$N$6*1000&amp;","&amp;ROUND(J9,2)*$N$6*1000</f>
        <v>0,0</v>
      </c>
      <c r="Q9" s="14" t="str">
        <f t="shared" ref="Q9:Q72" si="4">ROUND(H9,2)*$N$6*1000&amp;","&amp;ROUND(K9,2)*$N$6*1000</f>
        <v>0,0</v>
      </c>
      <c r="R9" s="31" t="str">
        <f t="shared" ref="R9:R72" si="5">ROUND(I9,2)*$N$6*1000&amp;","&amp;ROUND(J9,2)*$N$6*1000&amp;","&amp;ROUND(K9,2)*$N$6*1000</f>
        <v>0,0,0</v>
      </c>
    </row>
    <row r="10" ht="15.6" spans="1:18">
      <c r="A10" s="11">
        <v>2</v>
      </c>
      <c r="B10" s="12">
        <v>2</v>
      </c>
      <c r="C10" s="12">
        <f t="shared" si="0"/>
        <v>104.4</v>
      </c>
      <c r="D10" s="12">
        <v>9</v>
      </c>
      <c r="E10" s="13">
        <v>14.4</v>
      </c>
      <c r="F10" s="13">
        <v>23.26</v>
      </c>
      <c r="G10" s="14">
        <f t="shared" si="1"/>
        <v>19.76</v>
      </c>
      <c r="H10" s="14">
        <f t="shared" ref="H10:H73" si="6">H9+(B10-B9)*COS(RADIANS((E10+E9)/2))</f>
        <v>1.93790206801929</v>
      </c>
      <c r="I10" s="14">
        <f t="shared" ref="I10:I73" si="7">IF(ABS(G10-G9)&gt;270,I9+(B10-B9)*COS(RADIANS((E10+E9)/2))*SIN(RADIANS((G10+G9+360)/2)),I9+(B10-B9)*COS(RADIANS((E10+E9)/2))*SIN(RADIANS((G10+G9)/2)))</f>
        <v>0.651028091408874</v>
      </c>
      <c r="J10" s="14">
        <f t="shared" ref="J10:J73" si="8">IF(ABS(G10-G9)&gt;270,J9+(B10-B9)*COS(RADIANS((E10+E9)/2))*COS(RADIANS((G10+G9+360)/2)),J9+(B10-B9)*COS(RADIANS((E10+E9)/2))*COS(RADIANS((G10+G9)/2)))</f>
        <v>1.82527445865819</v>
      </c>
      <c r="K10" s="14">
        <f t="shared" ref="K10:K73" si="9">K9+(B10-B9)*SIN(RADIANS((E10+E9)/2))</f>
        <v>0.494505383961145</v>
      </c>
      <c r="L10" s="14">
        <f t="shared" si="2"/>
        <v>1.99450538396114</v>
      </c>
      <c r="M10" s="14">
        <f t="shared" ref="M10:M73" si="10">IF(ABS(K10-K9)&gt;270,M9+(B10-B9)*COS(RADIANS((E10+E9)/2))*COS(RADIANS((G10+G9+360)/2-$J$6)),M9+(B10-B9)*COS(RADIANS((E10+E9)/2))*COS(RADIANS((G10+G9)/2-$J$6)))</f>
        <v>-0.651028091408874</v>
      </c>
      <c r="N10" s="14">
        <f t="shared" ref="N10:N73" si="11">IF(ABS(L10-L9)&gt;270,N9+(B10-B9)*COS(RADIANS((E10+E9)/2))*SIN(RADIANS((G10+G9+360)/2-$J$6)),N9+(B10-B9)*COS(RADIANS((E10+E9)/2))*SIN(RADIANS((G10+G9)/2-$J$6)))</f>
        <v>1.82527445865819</v>
      </c>
      <c r="O10" s="14">
        <f t="shared" ref="O10:O73" si="12">IF(ABS(M10-M9)&gt;270,DEGREES(ACOS(SIN(RADIANS(E9))*SIN(RADIANS(E10))+COS(RADIANS(E9))*COS(RADIANS(E10))*COS(RADIANS(G10-G9-360))))/(B10-B9),DEGREES(ACOS(SIN(RADIANS(E9))*SIN(RADIANS(E10))+COS(RADIANS(E9))*COS(RADIANS(E10))*COS(RADIANS(G10-G9))))/(B10-B9))</f>
        <v>0.15195993425297</v>
      </c>
      <c r="P10" s="14" t="str">
        <f t="shared" si="3"/>
        <v>0.65,1.83</v>
      </c>
      <c r="Q10" s="14" t="str">
        <f t="shared" si="4"/>
        <v>1.94,0.49</v>
      </c>
      <c r="R10" s="31" t="str">
        <f t="shared" si="5"/>
        <v>0.65,1.83,0.49</v>
      </c>
    </row>
    <row r="11" ht="15.6" spans="1:18">
      <c r="A11" s="11">
        <v>3</v>
      </c>
      <c r="B11" s="12">
        <v>5</v>
      </c>
      <c r="C11" s="12">
        <f t="shared" si="0"/>
        <v>102.75</v>
      </c>
      <c r="D11" s="12">
        <v>12</v>
      </c>
      <c r="E11" s="13">
        <v>12.75</v>
      </c>
      <c r="F11" s="13">
        <v>23.01</v>
      </c>
      <c r="G11" s="14">
        <f t="shared" si="1"/>
        <v>19.51</v>
      </c>
      <c r="H11" s="14">
        <f t="shared" si="6"/>
        <v>4.85409259247996</v>
      </c>
      <c r="I11" s="14">
        <f t="shared" si="7"/>
        <v>1.6309467785067</v>
      </c>
      <c r="J11" s="14">
        <f t="shared" si="8"/>
        <v>4.57189539020857</v>
      </c>
      <c r="K11" s="14">
        <f t="shared" si="9"/>
        <v>1.1986593621831</v>
      </c>
      <c r="L11" s="14">
        <f t="shared" si="2"/>
        <v>2.6986593621831</v>
      </c>
      <c r="M11" s="14">
        <f t="shared" si="10"/>
        <v>-1.6309467785067</v>
      </c>
      <c r="N11" s="14">
        <f t="shared" si="11"/>
        <v>4.57189539020857</v>
      </c>
      <c r="O11" s="14">
        <f t="shared" si="12"/>
        <v>0.555932841258978</v>
      </c>
      <c r="P11" s="14" t="str">
        <f t="shared" si="3"/>
        <v>1.63,4.57</v>
      </c>
      <c r="Q11" s="14" t="str">
        <f t="shared" si="4"/>
        <v>4.85,1.2</v>
      </c>
      <c r="R11" s="31" t="str">
        <f t="shared" si="5"/>
        <v>1.63,4.57,1.2</v>
      </c>
    </row>
    <row r="12" ht="15.6" spans="1:18">
      <c r="A12" s="11">
        <v>4</v>
      </c>
      <c r="B12" s="12">
        <v>8</v>
      </c>
      <c r="C12" s="12">
        <f t="shared" si="0"/>
        <v>101.9</v>
      </c>
      <c r="D12" s="12">
        <v>15</v>
      </c>
      <c r="E12" s="13">
        <v>11.9</v>
      </c>
      <c r="F12" s="13">
        <v>26.91</v>
      </c>
      <c r="G12" s="14">
        <f t="shared" si="1"/>
        <v>23.41</v>
      </c>
      <c r="H12" s="14">
        <f t="shared" si="6"/>
        <v>7.78495018064752</v>
      </c>
      <c r="I12" s="14">
        <f t="shared" si="7"/>
        <v>2.70320566804455</v>
      </c>
      <c r="J12" s="14">
        <f t="shared" si="8"/>
        <v>7.29956602207131</v>
      </c>
      <c r="K12" s="14">
        <f t="shared" si="9"/>
        <v>1.83902940979667</v>
      </c>
      <c r="L12" s="14">
        <f t="shared" si="2"/>
        <v>3.33902940979667</v>
      </c>
      <c r="M12" s="14">
        <f t="shared" si="10"/>
        <v>-2.70320566804455</v>
      </c>
      <c r="N12" s="14">
        <f t="shared" si="11"/>
        <v>7.29956602207131</v>
      </c>
      <c r="O12" s="14">
        <f t="shared" si="12"/>
        <v>1.3012351129979</v>
      </c>
      <c r="P12" s="14" t="str">
        <f t="shared" si="3"/>
        <v>2.7,7.3</v>
      </c>
      <c r="Q12" s="14" t="str">
        <f t="shared" si="4"/>
        <v>7.78,1.84</v>
      </c>
      <c r="R12" s="31" t="str">
        <f t="shared" si="5"/>
        <v>2.7,7.3,1.84</v>
      </c>
    </row>
    <row r="13" ht="15.6" spans="1:18">
      <c r="A13" s="11">
        <v>5</v>
      </c>
      <c r="B13" s="12">
        <v>11</v>
      </c>
      <c r="C13" s="12">
        <f t="shared" si="0"/>
        <v>101.4</v>
      </c>
      <c r="D13" s="12">
        <v>18</v>
      </c>
      <c r="E13" s="13">
        <v>11.4</v>
      </c>
      <c r="F13" s="13">
        <v>24.93</v>
      </c>
      <c r="G13" s="14">
        <f t="shared" si="1"/>
        <v>21.43</v>
      </c>
      <c r="H13" s="14">
        <f t="shared" si="6"/>
        <v>10.7231483897621</v>
      </c>
      <c r="I13" s="14">
        <f t="shared" si="7"/>
        <v>3.82381413435882</v>
      </c>
      <c r="J13" s="14">
        <f t="shared" si="8"/>
        <v>10.0156745216104</v>
      </c>
      <c r="K13" s="14">
        <f t="shared" si="9"/>
        <v>2.44482746522117</v>
      </c>
      <c r="L13" s="14">
        <f t="shared" si="2"/>
        <v>3.94482746522117</v>
      </c>
      <c r="M13" s="14">
        <f t="shared" si="10"/>
        <v>-3.82381413435882</v>
      </c>
      <c r="N13" s="14">
        <f t="shared" si="11"/>
        <v>10.0156745216104</v>
      </c>
      <c r="O13" s="14">
        <f t="shared" si="12"/>
        <v>0.667540795690732</v>
      </c>
      <c r="P13" s="14" t="str">
        <f t="shared" si="3"/>
        <v>3.82,10.02</v>
      </c>
      <c r="Q13" s="14" t="str">
        <f t="shared" si="4"/>
        <v>10.72,2.44</v>
      </c>
      <c r="R13" s="31" t="str">
        <f t="shared" si="5"/>
        <v>3.82,10.02,2.44</v>
      </c>
    </row>
    <row r="14" ht="15.6" spans="1:18">
      <c r="A14" s="11">
        <v>6</v>
      </c>
      <c r="B14" s="12">
        <v>14</v>
      </c>
      <c r="C14" s="12">
        <f t="shared" si="0"/>
        <v>101.07</v>
      </c>
      <c r="D14" s="12">
        <v>21</v>
      </c>
      <c r="E14" s="13">
        <v>11.07</v>
      </c>
      <c r="F14" s="13">
        <v>23</v>
      </c>
      <c r="G14" s="14">
        <f t="shared" si="1"/>
        <v>19.5</v>
      </c>
      <c r="H14" s="14">
        <f t="shared" si="6"/>
        <v>13.6656573537177</v>
      </c>
      <c r="I14" s="14">
        <f t="shared" si="7"/>
        <v>4.85261865460491</v>
      </c>
      <c r="J14" s="14">
        <f t="shared" si="8"/>
        <v>12.7724698099988</v>
      </c>
      <c r="K14" s="14">
        <f t="shared" si="9"/>
        <v>3.02932810426352</v>
      </c>
      <c r="L14" s="14">
        <f t="shared" si="2"/>
        <v>4.52932810426352</v>
      </c>
      <c r="M14" s="14">
        <f t="shared" si="10"/>
        <v>-4.85261865460491</v>
      </c>
      <c r="N14" s="14">
        <f t="shared" si="11"/>
        <v>12.7724698099988</v>
      </c>
      <c r="O14" s="14">
        <f t="shared" si="12"/>
        <v>0.640518751601867</v>
      </c>
      <c r="P14" s="14" t="str">
        <f t="shared" si="3"/>
        <v>4.85,12.77</v>
      </c>
      <c r="Q14" s="14" t="str">
        <f t="shared" si="4"/>
        <v>13.67,3.03</v>
      </c>
      <c r="R14" s="31" t="str">
        <f t="shared" si="5"/>
        <v>4.85,12.77,3.03</v>
      </c>
    </row>
    <row r="15" ht="15.6" spans="1:18">
      <c r="A15" s="11">
        <v>7</v>
      </c>
      <c r="B15" s="12">
        <v>17</v>
      </c>
      <c r="C15" s="12">
        <f t="shared" si="0"/>
        <v>101</v>
      </c>
      <c r="D15" s="12">
        <v>24</v>
      </c>
      <c r="E15" s="13">
        <v>11</v>
      </c>
      <c r="F15" s="13">
        <v>21.93</v>
      </c>
      <c r="G15" s="14">
        <f t="shared" si="1"/>
        <v>18.43</v>
      </c>
      <c r="H15" s="14">
        <f t="shared" si="6"/>
        <v>16.6101886788846</v>
      </c>
      <c r="I15" s="14">
        <f t="shared" si="7"/>
        <v>5.80956338967743</v>
      </c>
      <c r="J15" s="14">
        <f t="shared" si="8"/>
        <v>15.5571639581785</v>
      </c>
      <c r="K15" s="14">
        <f t="shared" si="9"/>
        <v>3.60355390924862</v>
      </c>
      <c r="L15" s="14">
        <f t="shared" si="2"/>
        <v>5.10355390924862</v>
      </c>
      <c r="M15" s="14">
        <f t="shared" si="10"/>
        <v>-5.80956338967743</v>
      </c>
      <c r="N15" s="14">
        <f t="shared" si="11"/>
        <v>15.5571639581785</v>
      </c>
      <c r="O15" s="14">
        <f t="shared" si="12"/>
        <v>0.350848603306967</v>
      </c>
      <c r="P15" s="14" t="str">
        <f t="shared" si="3"/>
        <v>5.81,15.56</v>
      </c>
      <c r="Q15" s="14" t="str">
        <f t="shared" si="4"/>
        <v>16.61,3.6</v>
      </c>
      <c r="R15" s="31" t="str">
        <f t="shared" si="5"/>
        <v>5.81,15.56,3.6</v>
      </c>
    </row>
    <row r="16" ht="15.6" spans="1:18">
      <c r="A16" s="11">
        <v>8</v>
      </c>
      <c r="B16" s="12">
        <v>20</v>
      </c>
      <c r="C16" s="12">
        <f t="shared" si="0"/>
        <v>101.1</v>
      </c>
      <c r="D16" s="12">
        <v>27</v>
      </c>
      <c r="E16" s="13">
        <v>11.1</v>
      </c>
      <c r="F16" s="13">
        <v>21.13</v>
      </c>
      <c r="G16" s="14">
        <f t="shared" si="1"/>
        <v>17.63</v>
      </c>
      <c r="H16" s="14">
        <f t="shared" si="6"/>
        <v>19.5545695711815</v>
      </c>
      <c r="I16" s="14">
        <f t="shared" si="7"/>
        <v>6.72089321784345</v>
      </c>
      <c r="J16" s="14">
        <f t="shared" si="8"/>
        <v>18.356959804882</v>
      </c>
      <c r="K16" s="14">
        <f t="shared" si="9"/>
        <v>4.17855057104478</v>
      </c>
      <c r="L16" s="14">
        <f t="shared" si="2"/>
        <v>5.67855057104478</v>
      </c>
      <c r="M16" s="14">
        <f t="shared" si="10"/>
        <v>-6.72089321784345</v>
      </c>
      <c r="N16" s="14">
        <f t="shared" si="11"/>
        <v>18.356959804882</v>
      </c>
      <c r="O16" s="14">
        <f t="shared" si="12"/>
        <v>0.263836780255549</v>
      </c>
      <c r="P16" s="14" t="str">
        <f t="shared" si="3"/>
        <v>6.72,18.36</v>
      </c>
      <c r="Q16" s="14" t="str">
        <f t="shared" si="4"/>
        <v>19.55,4.18</v>
      </c>
      <c r="R16" s="31" t="str">
        <f t="shared" si="5"/>
        <v>6.72,18.36,4.18</v>
      </c>
    </row>
    <row r="17" ht="15.6" spans="1:18">
      <c r="A17" s="11">
        <v>9</v>
      </c>
      <c r="B17" s="12">
        <v>23</v>
      </c>
      <c r="C17" s="12">
        <f t="shared" si="0"/>
        <v>101.14</v>
      </c>
      <c r="D17" s="12">
        <v>30</v>
      </c>
      <c r="E17" s="13">
        <v>11.14</v>
      </c>
      <c r="F17" s="13">
        <v>20.32</v>
      </c>
      <c r="G17" s="14">
        <f t="shared" si="1"/>
        <v>16.82</v>
      </c>
      <c r="H17" s="14">
        <f t="shared" si="6"/>
        <v>22.4982457752791</v>
      </c>
      <c r="I17" s="14">
        <f t="shared" si="7"/>
        <v>7.59258886485072</v>
      </c>
      <c r="J17" s="14">
        <f t="shared" si="8"/>
        <v>21.1686099064343</v>
      </c>
      <c r="K17" s="14">
        <f t="shared" si="9"/>
        <v>4.75714404268905</v>
      </c>
      <c r="L17" s="14">
        <f t="shared" si="2"/>
        <v>6.25714404268905</v>
      </c>
      <c r="M17" s="14">
        <f t="shared" si="10"/>
        <v>-7.59258886485072</v>
      </c>
      <c r="N17" s="14">
        <f t="shared" si="11"/>
        <v>21.1686099064343</v>
      </c>
      <c r="O17" s="14">
        <f t="shared" si="12"/>
        <v>0.265266075534621</v>
      </c>
      <c r="P17" s="14" t="str">
        <f t="shared" si="3"/>
        <v>7.59,21.17</v>
      </c>
      <c r="Q17" s="14" t="str">
        <f t="shared" si="4"/>
        <v>22.5,4.76</v>
      </c>
      <c r="R17" s="31" t="str">
        <f t="shared" si="5"/>
        <v>7.59,21.17,4.76</v>
      </c>
    </row>
    <row r="18" ht="15.6" spans="1:18">
      <c r="A18" s="11">
        <v>10</v>
      </c>
      <c r="B18" s="12">
        <v>26</v>
      </c>
      <c r="C18" s="12">
        <f t="shared" si="0"/>
        <v>101.14</v>
      </c>
      <c r="D18" s="12">
        <v>33</v>
      </c>
      <c r="E18" s="13">
        <v>11.14</v>
      </c>
      <c r="F18" s="13">
        <v>19.99</v>
      </c>
      <c r="G18" s="14">
        <f t="shared" si="1"/>
        <v>16.49</v>
      </c>
      <c r="H18" s="14">
        <f t="shared" si="6"/>
        <v>25.4417198328197</v>
      </c>
      <c r="I18" s="14">
        <f t="shared" si="7"/>
        <v>8.43621254634004</v>
      </c>
      <c r="J18" s="14">
        <f t="shared" si="8"/>
        <v>23.9885990219176</v>
      </c>
      <c r="K18" s="14">
        <f t="shared" si="9"/>
        <v>5.3367650159</v>
      </c>
      <c r="L18" s="14">
        <f t="shared" si="2"/>
        <v>6.8367650159</v>
      </c>
      <c r="M18" s="14">
        <f t="shared" si="10"/>
        <v>-8.43621254634004</v>
      </c>
      <c r="N18" s="14">
        <f t="shared" si="11"/>
        <v>23.9885990219176</v>
      </c>
      <c r="O18" s="14">
        <f t="shared" si="12"/>
        <v>0.107927376541548</v>
      </c>
      <c r="P18" s="14" t="str">
        <f t="shared" si="3"/>
        <v>8.44,23.99</v>
      </c>
      <c r="Q18" s="14" t="str">
        <f t="shared" si="4"/>
        <v>25.44,5.34</v>
      </c>
      <c r="R18" s="31" t="str">
        <f t="shared" si="5"/>
        <v>8.44,23.99,5.34</v>
      </c>
    </row>
    <row r="19" ht="15.6" spans="1:18">
      <c r="A19" s="11">
        <v>11</v>
      </c>
      <c r="B19" s="12">
        <v>29</v>
      </c>
      <c r="C19" s="12">
        <f t="shared" si="0"/>
        <v>100.58</v>
      </c>
      <c r="D19" s="12">
        <v>36</v>
      </c>
      <c r="E19" s="13">
        <v>10.58</v>
      </c>
      <c r="F19" s="13">
        <v>19.05</v>
      </c>
      <c r="G19" s="14">
        <f t="shared" si="1"/>
        <v>15.55</v>
      </c>
      <c r="H19" s="14">
        <f t="shared" si="6"/>
        <v>28.3879912935544</v>
      </c>
      <c r="I19" s="14">
        <f t="shared" si="7"/>
        <v>9.24930357442473</v>
      </c>
      <c r="J19" s="14">
        <f t="shared" si="8"/>
        <v>26.8204532731792</v>
      </c>
      <c r="K19" s="14">
        <f t="shared" si="9"/>
        <v>5.90199459727388</v>
      </c>
      <c r="L19" s="14">
        <f t="shared" si="2"/>
        <v>7.40199459727388</v>
      </c>
      <c r="M19" s="14">
        <f t="shared" si="10"/>
        <v>-9.24930357442474</v>
      </c>
      <c r="N19" s="14">
        <f t="shared" si="11"/>
        <v>26.8204532731792</v>
      </c>
      <c r="O19" s="14">
        <f t="shared" si="12"/>
        <v>0.359911333474308</v>
      </c>
      <c r="P19" s="14" t="str">
        <f t="shared" si="3"/>
        <v>9.25,26.82</v>
      </c>
      <c r="Q19" s="14" t="str">
        <f t="shared" si="4"/>
        <v>28.39,5.9</v>
      </c>
      <c r="R19" s="31" t="str">
        <f t="shared" si="5"/>
        <v>9.25,26.82,5.9</v>
      </c>
    </row>
    <row r="20" ht="15.6" spans="1:18">
      <c r="A20" s="11">
        <v>12</v>
      </c>
      <c r="B20" s="12">
        <v>32</v>
      </c>
      <c r="C20" s="12">
        <f t="shared" si="0"/>
        <v>101.96</v>
      </c>
      <c r="D20" s="12">
        <v>39</v>
      </c>
      <c r="E20" s="13">
        <v>11.96</v>
      </c>
      <c r="F20" s="13">
        <v>18.24</v>
      </c>
      <c r="G20" s="14">
        <f t="shared" si="1"/>
        <v>14.74</v>
      </c>
      <c r="H20" s="14">
        <f t="shared" si="6"/>
        <v>31.3301426574022</v>
      </c>
      <c r="I20" s="14">
        <f t="shared" si="7"/>
        <v>10.0179780090009</v>
      </c>
      <c r="J20" s="14">
        <f t="shared" si="8"/>
        <v>29.6604170513673</v>
      </c>
      <c r="K20" s="14">
        <f t="shared" si="9"/>
        <v>6.48829260358855</v>
      </c>
      <c r="L20" s="14">
        <f t="shared" si="2"/>
        <v>7.98829260358855</v>
      </c>
      <c r="M20" s="14">
        <f t="shared" si="10"/>
        <v>-10.0179780090009</v>
      </c>
      <c r="N20" s="14">
        <f t="shared" si="11"/>
        <v>29.6604170513673</v>
      </c>
      <c r="O20" s="14">
        <f t="shared" si="12"/>
        <v>0.530765319687473</v>
      </c>
      <c r="P20" s="14" t="str">
        <f t="shared" si="3"/>
        <v>10.02,29.66</v>
      </c>
      <c r="Q20" s="14" t="str">
        <f t="shared" si="4"/>
        <v>31.33,6.49</v>
      </c>
      <c r="R20" s="31" t="str">
        <f t="shared" si="5"/>
        <v>10.02,29.66,6.49</v>
      </c>
    </row>
    <row r="21" ht="15.6" spans="1:18">
      <c r="A21" s="11">
        <v>13</v>
      </c>
      <c r="B21" s="12">
        <v>35</v>
      </c>
      <c r="C21" s="12">
        <f t="shared" si="0"/>
        <v>102.47</v>
      </c>
      <c r="D21" s="12">
        <v>42</v>
      </c>
      <c r="E21" s="13">
        <v>12.47</v>
      </c>
      <c r="F21" s="13">
        <v>19.36</v>
      </c>
      <c r="G21" s="14">
        <f t="shared" si="1"/>
        <v>15.86</v>
      </c>
      <c r="H21" s="14">
        <f t="shared" si="6"/>
        <v>34.2622242656688</v>
      </c>
      <c r="I21" s="14">
        <f t="shared" si="7"/>
        <v>10.7916753257216</v>
      </c>
      <c r="J21" s="14">
        <f t="shared" si="8"/>
        <v>32.4885781181445</v>
      </c>
      <c r="K21" s="14">
        <f t="shared" si="9"/>
        <v>7.12303463186823</v>
      </c>
      <c r="L21" s="14">
        <f t="shared" si="2"/>
        <v>8.62303463186823</v>
      </c>
      <c r="M21" s="14">
        <f t="shared" si="10"/>
        <v>-10.7916753257216</v>
      </c>
      <c r="N21" s="14">
        <f t="shared" si="11"/>
        <v>32.4885781181445</v>
      </c>
      <c r="O21" s="14">
        <f t="shared" si="12"/>
        <v>0.402538378813011</v>
      </c>
      <c r="P21" s="14" t="str">
        <f t="shared" si="3"/>
        <v>10.79,32.49</v>
      </c>
      <c r="Q21" s="14" t="str">
        <f t="shared" si="4"/>
        <v>34.26,7.12</v>
      </c>
      <c r="R21" s="31" t="str">
        <f t="shared" si="5"/>
        <v>10.79,32.49,7.12</v>
      </c>
    </row>
    <row r="22" ht="15.6" spans="1:18">
      <c r="A22" s="11">
        <v>14</v>
      </c>
      <c r="B22" s="12">
        <v>38</v>
      </c>
      <c r="C22" s="12">
        <f t="shared" si="0"/>
        <v>103.55</v>
      </c>
      <c r="D22" s="12">
        <v>45</v>
      </c>
      <c r="E22" s="13">
        <v>13.55</v>
      </c>
      <c r="F22" s="13">
        <v>19.65</v>
      </c>
      <c r="G22" s="14">
        <f t="shared" si="1"/>
        <v>16.15</v>
      </c>
      <c r="H22" s="14">
        <f t="shared" si="6"/>
        <v>37.185216631407</v>
      </c>
      <c r="I22" s="14">
        <f t="shared" si="7"/>
        <v>11.597606407287</v>
      </c>
      <c r="J22" s="14">
        <f t="shared" si="8"/>
        <v>35.2982683967928</v>
      </c>
      <c r="K22" s="14">
        <f t="shared" si="9"/>
        <v>7.79839796359154</v>
      </c>
      <c r="L22" s="14">
        <f t="shared" si="2"/>
        <v>9.29839796359154</v>
      </c>
      <c r="M22" s="14">
        <f t="shared" si="10"/>
        <v>-11.597606407287</v>
      </c>
      <c r="N22" s="14">
        <f t="shared" si="11"/>
        <v>35.2982683967928</v>
      </c>
      <c r="O22" s="14">
        <f t="shared" si="12"/>
        <v>0.372116335106287</v>
      </c>
      <c r="P22" s="14" t="str">
        <f t="shared" si="3"/>
        <v>11.6,35.3</v>
      </c>
      <c r="Q22" s="14" t="str">
        <f t="shared" si="4"/>
        <v>37.19,7.8</v>
      </c>
      <c r="R22" s="31" t="str">
        <f t="shared" si="5"/>
        <v>11.6,35.3,7.8</v>
      </c>
    </row>
    <row r="23" ht="15.6" spans="1:18">
      <c r="A23" s="11">
        <v>15</v>
      </c>
      <c r="B23" s="12">
        <v>41</v>
      </c>
      <c r="C23" s="12">
        <f t="shared" si="0"/>
        <v>103.27</v>
      </c>
      <c r="D23" s="12">
        <v>48</v>
      </c>
      <c r="E23" s="13">
        <v>13.27</v>
      </c>
      <c r="F23" s="13">
        <v>18.45</v>
      </c>
      <c r="G23" s="14">
        <f t="shared" si="1"/>
        <v>14.95</v>
      </c>
      <c r="H23" s="14">
        <f t="shared" si="6"/>
        <v>40.1034228786686</v>
      </c>
      <c r="I23" s="14">
        <f t="shared" si="7"/>
        <v>12.3799168047245</v>
      </c>
      <c r="J23" s="14">
        <f t="shared" si="8"/>
        <v>38.1096591813722</v>
      </c>
      <c r="K23" s="14">
        <f t="shared" si="9"/>
        <v>8.49415100774102</v>
      </c>
      <c r="L23" s="14">
        <f t="shared" si="2"/>
        <v>9.99415100774102</v>
      </c>
      <c r="M23" s="14">
        <f t="shared" si="10"/>
        <v>-12.3799168047245</v>
      </c>
      <c r="N23" s="14">
        <f t="shared" si="11"/>
        <v>38.1096591813722</v>
      </c>
      <c r="O23" s="14">
        <f t="shared" si="12"/>
        <v>0.400130892346571</v>
      </c>
      <c r="P23" s="14" t="str">
        <f t="shared" si="3"/>
        <v>12.38,38.11</v>
      </c>
      <c r="Q23" s="14" t="str">
        <f t="shared" si="4"/>
        <v>40.1,8.49</v>
      </c>
      <c r="R23" s="31" t="str">
        <f t="shared" si="5"/>
        <v>12.38,38.11,8.49</v>
      </c>
    </row>
    <row r="24" ht="15.6" spans="1:18">
      <c r="A24" s="11">
        <v>16</v>
      </c>
      <c r="B24" s="12">
        <v>44</v>
      </c>
      <c r="C24" s="12">
        <f t="shared" si="0"/>
        <v>102.56</v>
      </c>
      <c r="D24" s="12">
        <v>51</v>
      </c>
      <c r="E24" s="13">
        <v>12.56</v>
      </c>
      <c r="F24" s="13">
        <v>19.59</v>
      </c>
      <c r="G24" s="14">
        <f t="shared" si="1"/>
        <v>16.09</v>
      </c>
      <c r="H24" s="14">
        <f t="shared" si="6"/>
        <v>43.0275310207995</v>
      </c>
      <c r="I24" s="14">
        <f t="shared" si="7"/>
        <v>13.162334252147</v>
      </c>
      <c r="J24" s="14">
        <f t="shared" si="8"/>
        <v>40.9271458920498</v>
      </c>
      <c r="K24" s="14">
        <f t="shared" si="9"/>
        <v>9.16466690846481</v>
      </c>
      <c r="L24" s="14">
        <f t="shared" si="2"/>
        <v>10.6646669084648</v>
      </c>
      <c r="M24" s="14">
        <f t="shared" si="10"/>
        <v>-13.162334252147</v>
      </c>
      <c r="N24" s="14">
        <f t="shared" si="11"/>
        <v>40.9271458920498</v>
      </c>
      <c r="O24" s="14">
        <f t="shared" si="12"/>
        <v>0.439539993121028</v>
      </c>
      <c r="P24" s="14" t="str">
        <f t="shared" si="3"/>
        <v>13.16,40.93</v>
      </c>
      <c r="Q24" s="14" t="str">
        <f t="shared" si="4"/>
        <v>43.03,9.16</v>
      </c>
      <c r="R24" s="31" t="str">
        <f t="shared" si="5"/>
        <v>13.16,40.93,9.16</v>
      </c>
    </row>
    <row r="25" ht="15.6" spans="1:18">
      <c r="A25" s="11">
        <v>17</v>
      </c>
      <c r="B25" s="12">
        <v>47</v>
      </c>
      <c r="C25" s="12">
        <f t="shared" si="0"/>
        <v>103.25</v>
      </c>
      <c r="D25" s="12">
        <v>54</v>
      </c>
      <c r="E25" s="13">
        <v>13.25</v>
      </c>
      <c r="F25" s="13">
        <v>21.02</v>
      </c>
      <c r="G25" s="14">
        <f t="shared" si="1"/>
        <v>17.52</v>
      </c>
      <c r="H25" s="14">
        <f t="shared" si="6"/>
        <v>45.9517561454947</v>
      </c>
      <c r="I25" s="14">
        <f t="shared" si="7"/>
        <v>14.0077725866717</v>
      </c>
      <c r="J25" s="14">
        <f t="shared" si="8"/>
        <v>43.7264898513401</v>
      </c>
      <c r="K25" s="14">
        <f t="shared" si="9"/>
        <v>9.83467244583101</v>
      </c>
      <c r="L25" s="14">
        <f t="shared" si="2"/>
        <v>11.334672445831</v>
      </c>
      <c r="M25" s="14">
        <f t="shared" si="10"/>
        <v>-14.0077725866717</v>
      </c>
      <c r="N25" s="14">
        <f t="shared" si="11"/>
        <v>43.7264898513401</v>
      </c>
      <c r="O25" s="14">
        <f t="shared" si="12"/>
        <v>0.518434720589273</v>
      </c>
      <c r="P25" s="14" t="str">
        <f t="shared" si="3"/>
        <v>14.01,43.73</v>
      </c>
      <c r="Q25" s="14" t="str">
        <f t="shared" si="4"/>
        <v>45.95,9.83</v>
      </c>
      <c r="R25" s="31" t="str">
        <f t="shared" si="5"/>
        <v>14.01,43.73,9.83</v>
      </c>
    </row>
    <row r="26" ht="15.6" spans="1:18">
      <c r="A26" s="11">
        <v>18</v>
      </c>
      <c r="B26" s="12">
        <v>50</v>
      </c>
      <c r="C26" s="12">
        <f t="shared" si="0"/>
        <v>102.98</v>
      </c>
      <c r="D26" s="12">
        <v>57</v>
      </c>
      <c r="E26" s="13">
        <v>12.98</v>
      </c>
      <c r="F26" s="13">
        <v>20.23</v>
      </c>
      <c r="G26" s="14">
        <f t="shared" si="1"/>
        <v>16.73</v>
      </c>
      <c r="H26" s="14">
        <f t="shared" si="6"/>
        <v>48.8735059356804</v>
      </c>
      <c r="I26" s="14">
        <f t="shared" si="7"/>
        <v>14.8681032598041</v>
      </c>
      <c r="J26" s="14">
        <f t="shared" si="8"/>
        <v>46.5187027675264</v>
      </c>
      <c r="K26" s="14">
        <f t="shared" si="9"/>
        <v>10.5153913037671</v>
      </c>
      <c r="L26" s="14">
        <f t="shared" si="2"/>
        <v>12.0153913037671</v>
      </c>
      <c r="M26" s="14">
        <f t="shared" si="10"/>
        <v>-14.8681032598041</v>
      </c>
      <c r="N26" s="14">
        <f t="shared" si="11"/>
        <v>46.5187027675264</v>
      </c>
      <c r="O26" s="14">
        <f t="shared" si="12"/>
        <v>0.271797625276608</v>
      </c>
      <c r="P26" s="14" t="str">
        <f t="shared" si="3"/>
        <v>14.87,46.52</v>
      </c>
      <c r="Q26" s="14" t="str">
        <f t="shared" si="4"/>
        <v>48.87,10.52</v>
      </c>
      <c r="R26" s="31" t="str">
        <f t="shared" si="5"/>
        <v>14.87,46.52,10.52</v>
      </c>
    </row>
    <row r="27" ht="15.6" spans="1:18">
      <c r="A27" s="11">
        <v>19</v>
      </c>
      <c r="B27" s="12">
        <v>53</v>
      </c>
      <c r="C27" s="12">
        <f t="shared" si="0"/>
        <v>103.56</v>
      </c>
      <c r="D27" s="12">
        <v>60</v>
      </c>
      <c r="E27" s="13">
        <v>13.56</v>
      </c>
      <c r="F27" s="13">
        <v>19.99</v>
      </c>
      <c r="G27" s="14">
        <f t="shared" si="1"/>
        <v>16.49</v>
      </c>
      <c r="H27" s="14">
        <f t="shared" si="6"/>
        <v>51.7934035150736</v>
      </c>
      <c r="I27" s="14">
        <f t="shared" si="7"/>
        <v>15.7027723982314</v>
      </c>
      <c r="J27" s="14">
        <f t="shared" si="8"/>
        <v>49.3167608983563</v>
      </c>
      <c r="K27" s="14">
        <f t="shared" si="9"/>
        <v>11.2040117549984</v>
      </c>
      <c r="L27" s="14">
        <f t="shared" si="2"/>
        <v>12.7040117549984</v>
      </c>
      <c r="M27" s="14">
        <f t="shared" si="10"/>
        <v>-15.7027723982314</v>
      </c>
      <c r="N27" s="14">
        <f t="shared" si="11"/>
        <v>49.3167608983563</v>
      </c>
      <c r="O27" s="14">
        <f t="shared" si="12"/>
        <v>0.20842386941727</v>
      </c>
      <c r="P27" s="14" t="str">
        <f t="shared" si="3"/>
        <v>15.7,49.32</v>
      </c>
      <c r="Q27" s="14" t="str">
        <f t="shared" si="4"/>
        <v>51.79,11.2</v>
      </c>
      <c r="R27" s="31" t="str">
        <f t="shared" si="5"/>
        <v>15.7,49.32,11.2</v>
      </c>
    </row>
    <row r="28" ht="15.6" spans="1:18">
      <c r="A28" s="11">
        <v>20</v>
      </c>
      <c r="B28" s="12">
        <v>56</v>
      </c>
      <c r="C28" s="12">
        <f t="shared" si="0"/>
        <v>102.47</v>
      </c>
      <c r="D28" s="12">
        <v>63</v>
      </c>
      <c r="E28" s="13">
        <v>12.47</v>
      </c>
      <c r="F28" s="13">
        <v>17.97</v>
      </c>
      <c r="G28" s="14">
        <f t="shared" si="1"/>
        <v>14.47</v>
      </c>
      <c r="H28" s="14">
        <f t="shared" si="6"/>
        <v>54.716336933113</v>
      </c>
      <c r="I28" s="14">
        <f t="shared" si="7"/>
        <v>16.4829091421571</v>
      </c>
      <c r="J28" s="14">
        <f t="shared" si="8"/>
        <v>52.133661043386</v>
      </c>
      <c r="K28" s="14">
        <f t="shared" si="9"/>
        <v>11.8796301633538</v>
      </c>
      <c r="L28" s="14">
        <f t="shared" si="2"/>
        <v>13.3796301633538</v>
      </c>
      <c r="M28" s="14">
        <f t="shared" si="10"/>
        <v>-16.4829091421571</v>
      </c>
      <c r="N28" s="14">
        <f t="shared" si="11"/>
        <v>52.133661043386</v>
      </c>
      <c r="O28" s="14">
        <f t="shared" si="12"/>
        <v>0.749918156380686</v>
      </c>
      <c r="P28" s="14" t="str">
        <f t="shared" si="3"/>
        <v>16.48,52.13</v>
      </c>
      <c r="Q28" s="14" t="str">
        <f t="shared" si="4"/>
        <v>54.72,11.88</v>
      </c>
      <c r="R28" s="31" t="str">
        <f t="shared" si="5"/>
        <v>16.48,52.13,11.88</v>
      </c>
    </row>
    <row r="29" ht="15.6" spans="1:18">
      <c r="A29" s="11">
        <v>21</v>
      </c>
      <c r="B29" s="12">
        <v>59</v>
      </c>
      <c r="C29" s="12">
        <f t="shared" si="0"/>
        <v>101.52</v>
      </c>
      <c r="D29" s="12">
        <v>66</v>
      </c>
      <c r="E29" s="13">
        <v>11.52</v>
      </c>
      <c r="F29" s="13">
        <v>16.46</v>
      </c>
      <c r="G29" s="14">
        <f t="shared" si="1"/>
        <v>12.96</v>
      </c>
      <c r="H29" s="14">
        <f t="shared" si="6"/>
        <v>57.6508341552941</v>
      </c>
      <c r="I29" s="14">
        <f t="shared" si="7"/>
        <v>17.1786563922672</v>
      </c>
      <c r="J29" s="14">
        <f t="shared" si="8"/>
        <v>54.9844871887258</v>
      </c>
      <c r="K29" s="14">
        <f t="shared" si="9"/>
        <v>12.5031091549893</v>
      </c>
      <c r="L29" s="14">
        <f t="shared" si="2"/>
        <v>14.0031091549893</v>
      </c>
      <c r="M29" s="14">
        <f t="shared" si="10"/>
        <v>-17.1786563922672</v>
      </c>
      <c r="N29" s="14">
        <f t="shared" si="11"/>
        <v>54.9844871887258</v>
      </c>
      <c r="O29" s="14">
        <f t="shared" si="12"/>
        <v>0.585382705746763</v>
      </c>
      <c r="P29" s="14" t="str">
        <f t="shared" si="3"/>
        <v>17.18,54.98</v>
      </c>
      <c r="Q29" s="14" t="str">
        <f t="shared" si="4"/>
        <v>57.65,12.5</v>
      </c>
      <c r="R29" s="31" t="str">
        <f t="shared" si="5"/>
        <v>17.18,54.98,12.5</v>
      </c>
    </row>
    <row r="30" ht="15.6" spans="1:18">
      <c r="A30" s="11">
        <v>22</v>
      </c>
      <c r="B30" s="12">
        <v>62</v>
      </c>
      <c r="C30" s="12">
        <f t="shared" si="0"/>
        <v>100.63</v>
      </c>
      <c r="D30" s="12">
        <v>69</v>
      </c>
      <c r="E30" s="13">
        <v>10.63</v>
      </c>
      <c r="F30" s="13">
        <v>15.04</v>
      </c>
      <c r="G30" s="14">
        <f t="shared" si="1"/>
        <v>11.54</v>
      </c>
      <c r="H30" s="14">
        <f t="shared" si="6"/>
        <v>60.5949638776913</v>
      </c>
      <c r="I30" s="14">
        <f t="shared" si="7"/>
        <v>17.803334983292</v>
      </c>
      <c r="J30" s="14">
        <f t="shared" si="8"/>
        <v>57.8615823349137</v>
      </c>
      <c r="K30" s="14">
        <f t="shared" si="9"/>
        <v>13.0793904905342</v>
      </c>
      <c r="L30" s="14">
        <f t="shared" si="2"/>
        <v>14.5793904905342</v>
      </c>
      <c r="M30" s="14">
        <f t="shared" si="10"/>
        <v>-17.803334983292</v>
      </c>
      <c r="N30" s="14">
        <f t="shared" si="11"/>
        <v>57.8615823349137</v>
      </c>
      <c r="O30" s="14">
        <f t="shared" si="12"/>
        <v>0.551165189467942</v>
      </c>
      <c r="P30" s="14" t="str">
        <f t="shared" si="3"/>
        <v>17.8,57.86</v>
      </c>
      <c r="Q30" s="14" t="str">
        <f t="shared" si="4"/>
        <v>60.59,13.08</v>
      </c>
      <c r="R30" s="31" t="str">
        <f t="shared" si="5"/>
        <v>17.8,57.86,13.08</v>
      </c>
    </row>
    <row r="31" ht="15.6" spans="1:18">
      <c r="A31" s="11">
        <v>23</v>
      </c>
      <c r="B31" s="12">
        <v>65</v>
      </c>
      <c r="C31" s="12">
        <f t="shared" si="0"/>
        <v>101.96</v>
      </c>
      <c r="D31" s="12">
        <v>72</v>
      </c>
      <c r="E31" s="13">
        <v>11.96</v>
      </c>
      <c r="F31" s="13">
        <v>13.83</v>
      </c>
      <c r="G31" s="14">
        <f t="shared" si="1"/>
        <v>10.33</v>
      </c>
      <c r="H31" s="14">
        <f t="shared" si="6"/>
        <v>63.53685914071</v>
      </c>
      <c r="I31" s="14">
        <f t="shared" si="7"/>
        <v>18.3613985469046</v>
      </c>
      <c r="J31" s="14">
        <f t="shared" si="8"/>
        <v>60.7500616575919</v>
      </c>
      <c r="K31" s="14">
        <f t="shared" si="9"/>
        <v>13.6669721967064</v>
      </c>
      <c r="L31" s="14">
        <f t="shared" si="2"/>
        <v>15.1669721967064</v>
      </c>
      <c r="M31" s="14">
        <f t="shared" si="10"/>
        <v>-18.3613985469046</v>
      </c>
      <c r="N31" s="14">
        <f t="shared" si="11"/>
        <v>60.7500616575919</v>
      </c>
      <c r="O31" s="14">
        <f t="shared" si="12"/>
        <v>0.594115807428652</v>
      </c>
      <c r="P31" s="14" t="str">
        <f t="shared" si="3"/>
        <v>18.36,60.75</v>
      </c>
      <c r="Q31" s="14" t="str">
        <f t="shared" si="4"/>
        <v>63.54,13.67</v>
      </c>
      <c r="R31" s="31" t="str">
        <f t="shared" si="5"/>
        <v>18.36,60.75,13.67</v>
      </c>
    </row>
    <row r="32" ht="15.6" spans="1:18">
      <c r="A32" s="11">
        <v>24</v>
      </c>
      <c r="B32" s="12">
        <v>68</v>
      </c>
      <c r="C32" s="12">
        <f t="shared" si="0"/>
        <v>102.81</v>
      </c>
      <c r="D32" s="12">
        <v>75</v>
      </c>
      <c r="E32" s="13">
        <v>12.81</v>
      </c>
      <c r="F32" s="13">
        <v>13.04</v>
      </c>
      <c r="G32" s="14">
        <f t="shared" si="1"/>
        <v>9.54</v>
      </c>
      <c r="H32" s="14">
        <f t="shared" si="6"/>
        <v>66.4670445280321</v>
      </c>
      <c r="I32" s="14">
        <f t="shared" si="7"/>
        <v>18.8669458849508</v>
      </c>
      <c r="J32" s="14">
        <f t="shared" si="8"/>
        <v>63.6363063272397</v>
      </c>
      <c r="K32" s="14">
        <f t="shared" si="9"/>
        <v>14.3104110795262</v>
      </c>
      <c r="L32" s="14">
        <f t="shared" si="2"/>
        <v>15.8104110795262</v>
      </c>
      <c r="M32" s="14">
        <f t="shared" si="10"/>
        <v>-18.8669458849508</v>
      </c>
      <c r="N32" s="14">
        <f t="shared" si="11"/>
        <v>63.6363063272397</v>
      </c>
      <c r="O32" s="14">
        <f t="shared" si="12"/>
        <v>0.382662822825616</v>
      </c>
      <c r="P32" s="14" t="str">
        <f t="shared" si="3"/>
        <v>18.87,63.64</v>
      </c>
      <c r="Q32" s="14" t="str">
        <f t="shared" si="4"/>
        <v>66.47,14.31</v>
      </c>
      <c r="R32" s="31" t="str">
        <f t="shared" si="5"/>
        <v>18.87,63.64,14.31</v>
      </c>
    </row>
    <row r="33" ht="15.6" spans="1:18">
      <c r="A33" s="11">
        <v>25</v>
      </c>
      <c r="B33" s="12">
        <v>71</v>
      </c>
      <c r="C33" s="12">
        <f t="shared" si="0"/>
        <v>102.34</v>
      </c>
      <c r="D33" s="12">
        <v>78</v>
      </c>
      <c r="E33" s="13">
        <v>12.34</v>
      </c>
      <c r="F33" s="13">
        <v>12.05</v>
      </c>
      <c r="G33" s="14">
        <f t="shared" si="1"/>
        <v>8.55</v>
      </c>
      <c r="H33" s="14">
        <f t="shared" si="6"/>
        <v>69.3950800839733</v>
      </c>
      <c r="I33" s="14">
        <f t="shared" si="7"/>
        <v>19.327262780205</v>
      </c>
      <c r="J33" s="14">
        <f t="shared" si="8"/>
        <v>66.527932266534</v>
      </c>
      <c r="K33" s="14">
        <f t="shared" si="9"/>
        <v>14.9635632694051</v>
      </c>
      <c r="L33" s="14">
        <f t="shared" si="2"/>
        <v>16.4635632694051</v>
      </c>
      <c r="M33" s="14">
        <f t="shared" si="10"/>
        <v>-19.327262780205</v>
      </c>
      <c r="N33" s="14">
        <f t="shared" si="11"/>
        <v>66.527932266534</v>
      </c>
      <c r="O33" s="14">
        <f t="shared" si="12"/>
        <v>0.358164346874423</v>
      </c>
      <c r="P33" s="14" t="str">
        <f t="shared" si="3"/>
        <v>19.33,66.53</v>
      </c>
      <c r="Q33" s="14" t="str">
        <f t="shared" si="4"/>
        <v>69.4,14.96</v>
      </c>
      <c r="R33" s="31" t="str">
        <f t="shared" si="5"/>
        <v>19.33,66.53,14.96</v>
      </c>
    </row>
    <row r="34" ht="15.6" spans="1:18">
      <c r="A34" s="11">
        <v>26</v>
      </c>
      <c r="B34" s="12">
        <v>74</v>
      </c>
      <c r="C34" s="12">
        <f t="shared" si="0"/>
        <v>102.57</v>
      </c>
      <c r="D34" s="12">
        <v>81</v>
      </c>
      <c r="E34" s="13">
        <v>12.57</v>
      </c>
      <c r="F34" s="13">
        <v>11.2</v>
      </c>
      <c r="G34" s="14">
        <f t="shared" si="1"/>
        <v>7.7</v>
      </c>
      <c r="H34" s="14">
        <f t="shared" si="6"/>
        <v>72.3244771757639</v>
      </c>
      <c r="I34" s="14">
        <f t="shared" si="7"/>
        <v>19.7412838388828</v>
      </c>
      <c r="J34" s="14">
        <f t="shared" si="8"/>
        <v>69.4279243155511</v>
      </c>
      <c r="K34" s="14">
        <f t="shared" si="9"/>
        <v>15.6105815679169</v>
      </c>
      <c r="L34" s="14">
        <f t="shared" si="2"/>
        <v>17.1105815679169</v>
      </c>
      <c r="M34" s="14">
        <f t="shared" si="10"/>
        <v>-19.7412838388829</v>
      </c>
      <c r="N34" s="14">
        <f t="shared" si="11"/>
        <v>69.4279243155511</v>
      </c>
      <c r="O34" s="14">
        <f t="shared" si="12"/>
        <v>0.287091052275518</v>
      </c>
      <c r="P34" s="14" t="str">
        <f t="shared" si="3"/>
        <v>19.74,69.43</v>
      </c>
      <c r="Q34" s="14" t="str">
        <f t="shared" si="4"/>
        <v>72.32,15.61</v>
      </c>
      <c r="R34" s="31" t="str">
        <f t="shared" si="5"/>
        <v>19.74,69.43,15.61</v>
      </c>
    </row>
    <row r="35" ht="15.6" spans="1:18">
      <c r="A35" s="11">
        <v>27</v>
      </c>
      <c r="B35" s="12">
        <v>77</v>
      </c>
      <c r="C35" s="12">
        <f t="shared" si="0"/>
        <v>102.04</v>
      </c>
      <c r="D35" s="12">
        <v>84</v>
      </c>
      <c r="E35" s="13">
        <v>12.04</v>
      </c>
      <c r="F35" s="13">
        <v>9.86</v>
      </c>
      <c r="G35" s="14">
        <f t="shared" si="1"/>
        <v>6.36</v>
      </c>
      <c r="H35" s="14">
        <f t="shared" si="6"/>
        <v>75.2555581166841</v>
      </c>
      <c r="I35" s="14">
        <f t="shared" si="7"/>
        <v>20.1000159704784</v>
      </c>
      <c r="J35" s="14">
        <f t="shared" si="8"/>
        <v>72.3369699906801</v>
      </c>
      <c r="K35" s="14">
        <f t="shared" si="9"/>
        <v>16.2499285142413</v>
      </c>
      <c r="L35" s="14">
        <f t="shared" si="2"/>
        <v>17.7499285142413</v>
      </c>
      <c r="M35" s="14">
        <f t="shared" si="10"/>
        <v>-20.1000159704784</v>
      </c>
      <c r="N35" s="14">
        <f t="shared" si="11"/>
        <v>72.3369699906801</v>
      </c>
      <c r="O35" s="14">
        <f t="shared" si="12"/>
        <v>0.470806568130814</v>
      </c>
      <c r="P35" s="14" t="str">
        <f t="shared" si="3"/>
        <v>20.1,72.34</v>
      </c>
      <c r="Q35" s="14" t="str">
        <f t="shared" si="4"/>
        <v>75.26,16.25</v>
      </c>
      <c r="R35" s="31" t="str">
        <f t="shared" si="5"/>
        <v>20.1,72.34,16.25</v>
      </c>
    </row>
    <row r="36" ht="15.6" spans="1:18">
      <c r="A36" s="11">
        <v>28</v>
      </c>
      <c r="B36" s="12">
        <v>80</v>
      </c>
      <c r="C36" s="12">
        <f t="shared" si="0"/>
        <v>102.97</v>
      </c>
      <c r="D36" s="12">
        <v>87</v>
      </c>
      <c r="E36" s="13">
        <v>12.97</v>
      </c>
      <c r="F36" s="13">
        <v>10.26</v>
      </c>
      <c r="G36" s="14">
        <f t="shared" si="1"/>
        <v>6.76</v>
      </c>
      <c r="H36" s="14">
        <f t="shared" si="6"/>
        <v>78.1843894631332</v>
      </c>
      <c r="I36" s="14">
        <f t="shared" si="7"/>
        <v>20.4346162586066</v>
      </c>
      <c r="J36" s="14">
        <f t="shared" si="8"/>
        <v>75.246625589394</v>
      </c>
      <c r="K36" s="14">
        <f t="shared" si="9"/>
        <v>16.8995029472798</v>
      </c>
      <c r="L36" s="14">
        <f t="shared" si="2"/>
        <v>18.3995029472798</v>
      </c>
      <c r="M36" s="14">
        <f t="shared" si="10"/>
        <v>-20.4346162586067</v>
      </c>
      <c r="N36" s="14">
        <f t="shared" si="11"/>
        <v>75.246625589394</v>
      </c>
      <c r="O36" s="14">
        <f t="shared" si="12"/>
        <v>0.336219975890865</v>
      </c>
      <c r="P36" s="14" t="str">
        <f t="shared" si="3"/>
        <v>20.43,75.25</v>
      </c>
      <c r="Q36" s="14" t="str">
        <f t="shared" si="4"/>
        <v>78.18,16.9</v>
      </c>
      <c r="R36" s="31" t="str">
        <f t="shared" si="5"/>
        <v>20.43,75.25,16.9</v>
      </c>
    </row>
    <row r="37" ht="15.6" spans="1:18">
      <c r="A37" s="11">
        <v>29</v>
      </c>
      <c r="B37" s="12">
        <v>83</v>
      </c>
      <c r="C37" s="12">
        <f t="shared" si="0"/>
        <v>102.06</v>
      </c>
      <c r="D37" s="12">
        <v>90</v>
      </c>
      <c r="E37" s="13">
        <v>12.06</v>
      </c>
      <c r="F37" s="13">
        <v>9.58</v>
      </c>
      <c r="G37" s="14">
        <f t="shared" si="1"/>
        <v>6.08</v>
      </c>
      <c r="H37" s="14">
        <f t="shared" si="6"/>
        <v>81.1131073928482</v>
      </c>
      <c r="I37" s="14">
        <f t="shared" si="7"/>
        <v>20.7620932433181</v>
      </c>
      <c r="J37" s="14">
        <f t="shared" si="8"/>
        <v>78.1569773784942</v>
      </c>
      <c r="K37" s="14">
        <f t="shared" si="9"/>
        <v>17.5495885479245</v>
      </c>
      <c r="L37" s="14">
        <f t="shared" si="2"/>
        <v>19.0495885479245</v>
      </c>
      <c r="M37" s="14">
        <f t="shared" si="10"/>
        <v>-20.7620932433182</v>
      </c>
      <c r="N37" s="14">
        <f t="shared" si="11"/>
        <v>78.1569773784942</v>
      </c>
      <c r="O37" s="14">
        <f t="shared" si="12"/>
        <v>0.375466568288431</v>
      </c>
      <c r="P37" s="14" t="str">
        <f t="shared" si="3"/>
        <v>20.76,78.16</v>
      </c>
      <c r="Q37" s="14" t="str">
        <f t="shared" si="4"/>
        <v>81.11,17.55</v>
      </c>
      <c r="R37" s="31" t="str">
        <f t="shared" si="5"/>
        <v>20.76,78.16,17.55</v>
      </c>
    </row>
    <row r="38" ht="15.6" spans="1:18">
      <c r="A38" s="11">
        <v>30</v>
      </c>
      <c r="B38" s="12">
        <v>86</v>
      </c>
      <c r="C38" s="12">
        <f t="shared" si="0"/>
        <v>102.21</v>
      </c>
      <c r="D38" s="12">
        <v>93</v>
      </c>
      <c r="E38" s="13">
        <v>12.21</v>
      </c>
      <c r="F38" s="13">
        <v>10.94</v>
      </c>
      <c r="G38" s="14">
        <f t="shared" si="1"/>
        <v>7.44</v>
      </c>
      <c r="H38" s="14">
        <f t="shared" si="6"/>
        <v>84.0460724097689</v>
      </c>
      <c r="I38" s="14">
        <f t="shared" si="7"/>
        <v>21.1073346637029</v>
      </c>
      <c r="J38" s="14">
        <f t="shared" si="8"/>
        <v>81.0695522105167</v>
      </c>
      <c r="K38" s="14">
        <f t="shared" si="9"/>
        <v>18.1802360005633</v>
      </c>
      <c r="L38" s="14">
        <f t="shared" si="2"/>
        <v>19.6802360005633</v>
      </c>
      <c r="M38" s="14">
        <f t="shared" si="10"/>
        <v>-21.1073346637029</v>
      </c>
      <c r="N38" s="14">
        <f t="shared" si="11"/>
        <v>81.0695522105167</v>
      </c>
      <c r="O38" s="14">
        <f t="shared" si="12"/>
        <v>0.446014459390852</v>
      </c>
      <c r="P38" s="14" t="str">
        <f t="shared" si="3"/>
        <v>21.11,81.07</v>
      </c>
      <c r="Q38" s="14" t="str">
        <f t="shared" si="4"/>
        <v>84.05,18.18</v>
      </c>
      <c r="R38" s="31" t="str">
        <f t="shared" si="5"/>
        <v>21.11,81.07,18.18</v>
      </c>
    </row>
    <row r="39" ht="15.6" spans="1:18">
      <c r="A39" s="11">
        <v>31</v>
      </c>
      <c r="B39" s="12">
        <v>89</v>
      </c>
      <c r="C39" s="12">
        <f t="shared" si="0"/>
        <v>102.27</v>
      </c>
      <c r="D39" s="12">
        <v>96</v>
      </c>
      <c r="E39" s="13">
        <v>12.27</v>
      </c>
      <c r="F39" s="13">
        <v>9.68</v>
      </c>
      <c r="G39" s="14">
        <f t="shared" si="1"/>
        <v>6.18</v>
      </c>
      <c r="H39" s="14">
        <f t="shared" si="6"/>
        <v>86.9778767804735</v>
      </c>
      <c r="I39" s="14">
        <f t="shared" si="7"/>
        <v>21.4549800270717</v>
      </c>
      <c r="J39" s="14">
        <f t="shared" si="8"/>
        <v>83.9806721959193</v>
      </c>
      <c r="K39" s="14">
        <f t="shared" si="9"/>
        <v>18.8162573303294</v>
      </c>
      <c r="L39" s="14">
        <f t="shared" si="2"/>
        <v>20.3162573303294</v>
      </c>
      <c r="M39" s="14">
        <f t="shared" si="10"/>
        <v>-21.4549800270717</v>
      </c>
      <c r="N39" s="14">
        <f t="shared" si="11"/>
        <v>83.9806721959193</v>
      </c>
      <c r="O39" s="14">
        <f t="shared" si="12"/>
        <v>0.410939197279986</v>
      </c>
      <c r="P39" s="14" t="str">
        <f t="shared" si="3"/>
        <v>21.45,83.98</v>
      </c>
      <c r="Q39" s="14" t="str">
        <f t="shared" si="4"/>
        <v>86.98,18.82</v>
      </c>
      <c r="R39" s="31" t="str">
        <f t="shared" si="5"/>
        <v>21.45,83.98,18.82</v>
      </c>
    </row>
    <row r="40" ht="15.6" spans="1:18">
      <c r="A40" s="11">
        <v>32</v>
      </c>
      <c r="B40" s="12">
        <v>92</v>
      </c>
      <c r="C40" s="12">
        <f t="shared" si="0"/>
        <v>102.45</v>
      </c>
      <c r="D40" s="12">
        <v>99</v>
      </c>
      <c r="E40" s="13">
        <v>12.45</v>
      </c>
      <c r="F40" s="13">
        <v>8.96</v>
      </c>
      <c r="G40" s="14">
        <f t="shared" si="1"/>
        <v>5.46</v>
      </c>
      <c r="H40" s="14">
        <f t="shared" si="6"/>
        <v>89.9083426420297</v>
      </c>
      <c r="I40" s="14">
        <f t="shared" si="7"/>
        <v>21.7521397269032</v>
      </c>
      <c r="J40" s="14">
        <f t="shared" si="8"/>
        <v>86.8960325987756</v>
      </c>
      <c r="K40" s="14">
        <f t="shared" si="9"/>
        <v>19.4584176173713</v>
      </c>
      <c r="L40" s="14">
        <f t="shared" si="2"/>
        <v>20.9584176173713</v>
      </c>
      <c r="M40" s="14">
        <f t="shared" si="10"/>
        <v>-21.7521397269032</v>
      </c>
      <c r="N40" s="14">
        <f t="shared" si="11"/>
        <v>86.8960325987756</v>
      </c>
      <c r="O40" s="14">
        <f t="shared" si="12"/>
        <v>0.241993281324217</v>
      </c>
      <c r="P40" s="14" t="str">
        <f t="shared" si="3"/>
        <v>21.75,86.9</v>
      </c>
      <c r="Q40" s="14" t="str">
        <f t="shared" si="4"/>
        <v>89.91,19.46</v>
      </c>
      <c r="R40" s="31" t="str">
        <f t="shared" si="5"/>
        <v>21.75,86.9,19.46</v>
      </c>
    </row>
    <row r="41" ht="15.6" spans="1:18">
      <c r="A41" s="11">
        <v>33</v>
      </c>
      <c r="B41" s="12">
        <v>95</v>
      </c>
      <c r="C41" s="12">
        <f t="shared" si="0"/>
        <v>102.28</v>
      </c>
      <c r="D41" s="12">
        <v>102</v>
      </c>
      <c r="E41" s="13">
        <v>12.28</v>
      </c>
      <c r="F41" s="13">
        <v>8.42</v>
      </c>
      <c r="G41" s="14">
        <f t="shared" si="1"/>
        <v>4.92</v>
      </c>
      <c r="H41" s="14">
        <f t="shared" si="6"/>
        <v>92.8387524533709</v>
      </c>
      <c r="I41" s="14">
        <f t="shared" si="7"/>
        <v>22.0172209770396</v>
      </c>
      <c r="J41" s="14">
        <f t="shared" si="8"/>
        <v>89.814428321297</v>
      </c>
      <c r="K41" s="14">
        <f t="shared" si="9"/>
        <v>20.1008336333572</v>
      </c>
      <c r="L41" s="14">
        <f t="shared" si="2"/>
        <v>21.6008336333572</v>
      </c>
      <c r="M41" s="14">
        <f t="shared" si="10"/>
        <v>-22.0172209770396</v>
      </c>
      <c r="N41" s="14">
        <f t="shared" si="11"/>
        <v>89.814428321297</v>
      </c>
      <c r="O41" s="14">
        <f t="shared" si="12"/>
        <v>0.18473050818186</v>
      </c>
      <c r="P41" s="14" t="str">
        <f t="shared" si="3"/>
        <v>22.02,89.81</v>
      </c>
      <c r="Q41" s="14" t="str">
        <f t="shared" si="4"/>
        <v>92.84,20.1</v>
      </c>
      <c r="R41" s="31" t="str">
        <f t="shared" si="5"/>
        <v>22.02,89.81,20.1</v>
      </c>
    </row>
    <row r="42" ht="15.6" spans="1:18">
      <c r="A42" s="11">
        <v>34</v>
      </c>
      <c r="B42" s="12">
        <v>98</v>
      </c>
      <c r="C42" s="12">
        <f t="shared" si="0"/>
        <v>102.74</v>
      </c>
      <c r="D42" s="12">
        <v>105</v>
      </c>
      <c r="E42" s="13">
        <v>12.74</v>
      </c>
      <c r="F42" s="13">
        <v>8.69</v>
      </c>
      <c r="G42" s="14">
        <f t="shared" si="1"/>
        <v>5.19</v>
      </c>
      <c r="H42" s="14">
        <f t="shared" si="6"/>
        <v>95.7675271026049</v>
      </c>
      <c r="I42" s="14">
        <f t="shared" si="7"/>
        <v>22.2752811124257</v>
      </c>
      <c r="J42" s="14">
        <f t="shared" si="8"/>
        <v>92.7318117229979</v>
      </c>
      <c r="K42" s="14">
        <f t="shared" si="9"/>
        <v>20.7506636526732</v>
      </c>
      <c r="L42" s="14">
        <f t="shared" si="2"/>
        <v>22.2506636526732</v>
      </c>
      <c r="M42" s="14">
        <f t="shared" si="10"/>
        <v>-22.2752811124257</v>
      </c>
      <c r="N42" s="14">
        <f t="shared" si="11"/>
        <v>92.7318117229979</v>
      </c>
      <c r="O42" s="14">
        <f t="shared" si="12"/>
        <v>0.176722980115057</v>
      </c>
      <c r="P42" s="14" t="str">
        <f t="shared" si="3"/>
        <v>22.28,92.73</v>
      </c>
      <c r="Q42" s="14" t="str">
        <f t="shared" si="4"/>
        <v>95.77,20.75</v>
      </c>
      <c r="R42" s="31" t="str">
        <f t="shared" si="5"/>
        <v>22.28,92.73,20.75</v>
      </c>
    </row>
    <row r="43" ht="15.6" spans="1:18">
      <c r="A43" s="11">
        <v>35</v>
      </c>
      <c r="B43" s="12">
        <v>101</v>
      </c>
      <c r="C43" s="12">
        <f t="shared" si="0"/>
        <v>102.5</v>
      </c>
      <c r="D43" s="12">
        <v>108</v>
      </c>
      <c r="E43" s="13">
        <v>12.5</v>
      </c>
      <c r="F43" s="13">
        <v>7.64</v>
      </c>
      <c r="G43" s="14">
        <f t="shared" si="1"/>
        <v>4.14</v>
      </c>
      <c r="H43" s="14">
        <f t="shared" si="6"/>
        <v>98.6950487709888</v>
      </c>
      <c r="I43" s="14">
        <f t="shared" si="7"/>
        <v>22.5133755194815</v>
      </c>
      <c r="J43" s="14">
        <f t="shared" si="8"/>
        <v>95.6496352564191</v>
      </c>
      <c r="K43" s="14">
        <f t="shared" si="9"/>
        <v>21.4061153146152</v>
      </c>
      <c r="L43" s="14">
        <f t="shared" si="2"/>
        <v>22.9061153146152</v>
      </c>
      <c r="M43" s="14">
        <f t="shared" si="10"/>
        <v>-22.5133755194815</v>
      </c>
      <c r="N43" s="14">
        <f t="shared" si="11"/>
        <v>95.6496352564191</v>
      </c>
      <c r="O43" s="14">
        <f t="shared" si="12"/>
        <v>0.350787805990902</v>
      </c>
      <c r="P43" s="14" t="str">
        <f t="shared" si="3"/>
        <v>22.51,95.65</v>
      </c>
      <c r="Q43" s="14" t="str">
        <f t="shared" si="4"/>
        <v>98.7,21.41</v>
      </c>
      <c r="R43" s="31" t="str">
        <f t="shared" si="5"/>
        <v>22.51,95.65,21.41</v>
      </c>
    </row>
    <row r="44" ht="15.6" spans="1:18">
      <c r="A44" s="11">
        <v>36</v>
      </c>
      <c r="B44" s="12">
        <v>104</v>
      </c>
      <c r="C44" s="12">
        <f t="shared" si="0"/>
        <v>102</v>
      </c>
      <c r="D44" s="12">
        <v>111</v>
      </c>
      <c r="E44" s="13">
        <v>12</v>
      </c>
      <c r="F44" s="13">
        <v>8.32</v>
      </c>
      <c r="G44" s="14">
        <f t="shared" si="1"/>
        <v>4.82</v>
      </c>
      <c r="H44" s="14">
        <f t="shared" si="6"/>
        <v>101.626742090377</v>
      </c>
      <c r="I44" s="14">
        <f t="shared" si="7"/>
        <v>22.7423733129165</v>
      </c>
      <c r="J44" s="14">
        <f t="shared" si="8"/>
        <v>98.5723712570778</v>
      </c>
      <c r="K44" s="14">
        <f t="shared" si="9"/>
        <v>22.0426483310845</v>
      </c>
      <c r="L44" s="14">
        <f t="shared" si="2"/>
        <v>23.5426483310845</v>
      </c>
      <c r="M44" s="14">
        <f t="shared" si="10"/>
        <v>-22.7423733129166</v>
      </c>
      <c r="N44" s="14">
        <f t="shared" si="11"/>
        <v>98.5723712570778</v>
      </c>
      <c r="O44" s="14">
        <f t="shared" si="12"/>
        <v>0.277204219496969</v>
      </c>
      <c r="P44" s="14" t="str">
        <f t="shared" si="3"/>
        <v>22.74,98.57</v>
      </c>
      <c r="Q44" s="14" t="str">
        <f t="shared" si="4"/>
        <v>101.63,22.04</v>
      </c>
      <c r="R44" s="31" t="str">
        <f t="shared" si="5"/>
        <v>22.74,98.57,22.04</v>
      </c>
    </row>
    <row r="45" ht="15.6" spans="1:18">
      <c r="A45" s="11">
        <v>37</v>
      </c>
      <c r="B45" s="12">
        <v>107</v>
      </c>
      <c r="C45" s="12">
        <f t="shared" si="0"/>
        <v>101.19</v>
      </c>
      <c r="D45" s="12">
        <v>114</v>
      </c>
      <c r="E45" s="13">
        <v>11.19</v>
      </c>
      <c r="F45" s="13">
        <v>7.23</v>
      </c>
      <c r="G45" s="14">
        <f t="shared" si="1"/>
        <v>3.73</v>
      </c>
      <c r="H45" s="14">
        <f t="shared" si="6"/>
        <v>104.565520470062</v>
      </c>
      <c r="I45" s="14">
        <f t="shared" si="7"/>
        <v>22.9614404788056</v>
      </c>
      <c r="J45" s="14">
        <f t="shared" si="8"/>
        <v>101.502973233077</v>
      </c>
      <c r="K45" s="14">
        <f t="shared" si="9"/>
        <v>22.6456256400252</v>
      </c>
      <c r="L45" s="14">
        <f t="shared" si="2"/>
        <v>24.1456256400252</v>
      </c>
      <c r="M45" s="14">
        <f t="shared" si="10"/>
        <v>-22.9614404788056</v>
      </c>
      <c r="N45" s="14">
        <f t="shared" si="11"/>
        <v>101.502973233077</v>
      </c>
      <c r="O45" s="14">
        <f t="shared" si="12"/>
        <v>0.44673885094006</v>
      </c>
      <c r="P45" s="14" t="str">
        <f t="shared" si="3"/>
        <v>22.96,101.5</v>
      </c>
      <c r="Q45" s="14" t="str">
        <f t="shared" si="4"/>
        <v>104.57,22.65</v>
      </c>
      <c r="R45" s="31" t="str">
        <f t="shared" si="5"/>
        <v>22.96,101.5,22.65</v>
      </c>
    </row>
    <row r="46" ht="15.6" spans="1:18">
      <c r="A46" s="11">
        <v>38</v>
      </c>
      <c r="B46" s="12">
        <v>110</v>
      </c>
      <c r="C46" s="12">
        <f t="shared" si="0"/>
        <v>102.78</v>
      </c>
      <c r="D46" s="12">
        <v>117</v>
      </c>
      <c r="E46" s="13">
        <v>12.78</v>
      </c>
      <c r="F46" s="13">
        <v>6.54</v>
      </c>
      <c r="G46" s="14">
        <f t="shared" si="1"/>
        <v>3.04</v>
      </c>
      <c r="H46" s="14">
        <f t="shared" si="6"/>
        <v>107.50012646516</v>
      </c>
      <c r="I46" s="14">
        <f t="shared" si="7"/>
        <v>23.1347143865422</v>
      </c>
      <c r="J46" s="14">
        <f t="shared" si="8"/>
        <v>104.432459280042</v>
      </c>
      <c r="K46" s="14">
        <f t="shared" si="9"/>
        <v>23.268592455783</v>
      </c>
      <c r="L46" s="14">
        <f t="shared" si="2"/>
        <v>24.768592455783</v>
      </c>
      <c r="M46" s="14">
        <f t="shared" si="10"/>
        <v>-23.1347143865422</v>
      </c>
      <c r="N46" s="14">
        <f t="shared" si="11"/>
        <v>104.432459280042</v>
      </c>
      <c r="O46" s="14">
        <f t="shared" si="12"/>
        <v>0.575773560440087</v>
      </c>
      <c r="P46" s="14" t="str">
        <f t="shared" si="3"/>
        <v>23.13,104.43</v>
      </c>
      <c r="Q46" s="14" t="str">
        <f t="shared" si="4"/>
        <v>107.5,23.27</v>
      </c>
      <c r="R46" s="31" t="str">
        <f t="shared" si="5"/>
        <v>23.13,104.43,23.27</v>
      </c>
    </row>
    <row r="47" ht="15.6" spans="1:18">
      <c r="A47" s="11">
        <v>39</v>
      </c>
      <c r="B47" s="12">
        <v>113</v>
      </c>
      <c r="C47" s="12">
        <f t="shared" si="0"/>
        <v>102</v>
      </c>
      <c r="D47" s="12">
        <v>120</v>
      </c>
      <c r="E47" s="13">
        <v>12</v>
      </c>
      <c r="F47" s="13">
        <v>5.36</v>
      </c>
      <c r="G47" s="14">
        <f t="shared" si="1"/>
        <v>1.86</v>
      </c>
      <c r="H47" s="14">
        <f t="shared" si="6"/>
        <v>110.430255690689</v>
      </c>
      <c r="I47" s="14">
        <f t="shared" si="7"/>
        <v>23.2599701935106</v>
      </c>
      <c r="J47" s="14">
        <f t="shared" si="8"/>
        <v>107.359910092801</v>
      </c>
      <c r="K47" s="14">
        <f t="shared" si="9"/>
        <v>23.9122870430659</v>
      </c>
      <c r="L47" s="14">
        <f t="shared" si="2"/>
        <v>25.4122870430659</v>
      </c>
      <c r="M47" s="14">
        <f t="shared" si="10"/>
        <v>-23.2599701935106</v>
      </c>
      <c r="N47" s="14">
        <f t="shared" si="11"/>
        <v>107.359910092801</v>
      </c>
      <c r="O47" s="14">
        <f t="shared" si="12"/>
        <v>0.463881082806009</v>
      </c>
      <c r="P47" s="14" t="str">
        <f t="shared" si="3"/>
        <v>23.26,107.36</v>
      </c>
      <c r="Q47" s="14" t="str">
        <f t="shared" si="4"/>
        <v>110.43,23.91</v>
      </c>
      <c r="R47" s="31" t="str">
        <f t="shared" si="5"/>
        <v>23.26,107.36,23.91</v>
      </c>
    </row>
    <row r="48" ht="15.6" spans="1:18">
      <c r="A48" s="11">
        <v>40</v>
      </c>
      <c r="B48" s="12">
        <v>116</v>
      </c>
      <c r="C48" s="12">
        <f t="shared" si="0"/>
        <v>101.63</v>
      </c>
      <c r="D48" s="12">
        <v>123</v>
      </c>
      <c r="E48" s="13">
        <v>11.63</v>
      </c>
      <c r="F48" s="13">
        <v>4.26</v>
      </c>
      <c r="G48" s="14">
        <f t="shared" si="1"/>
        <v>0.76</v>
      </c>
      <c r="H48" s="14">
        <f t="shared" si="6"/>
        <v>113.366697145517</v>
      </c>
      <c r="I48" s="14">
        <f t="shared" si="7"/>
        <v>23.3271025930985</v>
      </c>
      <c r="J48" s="14">
        <f t="shared" si="8"/>
        <v>110.295584062873</v>
      </c>
      <c r="K48" s="14">
        <f t="shared" si="9"/>
        <v>24.5265439782079</v>
      </c>
      <c r="L48" s="14">
        <f t="shared" si="2"/>
        <v>26.0265439782079</v>
      </c>
      <c r="M48" s="14">
        <f t="shared" si="10"/>
        <v>-23.3271025930985</v>
      </c>
      <c r="N48" s="14">
        <f t="shared" si="11"/>
        <v>110.295584062873</v>
      </c>
      <c r="O48" s="14">
        <f t="shared" si="12"/>
        <v>0.379497694839478</v>
      </c>
      <c r="P48" s="14" t="str">
        <f t="shared" si="3"/>
        <v>23.33,110.3</v>
      </c>
      <c r="Q48" s="14" t="str">
        <f t="shared" si="4"/>
        <v>113.37,24.53</v>
      </c>
      <c r="R48" s="31" t="str">
        <f t="shared" si="5"/>
        <v>23.33,110.3,24.53</v>
      </c>
    </row>
    <row r="49" ht="15.6" spans="1:18">
      <c r="A49" s="11">
        <v>41</v>
      </c>
      <c r="B49" s="12">
        <v>119</v>
      </c>
      <c r="C49" s="12">
        <f t="shared" si="0"/>
        <v>101.24</v>
      </c>
      <c r="D49" s="12">
        <v>126</v>
      </c>
      <c r="E49" s="13">
        <v>11.24</v>
      </c>
      <c r="F49" s="13">
        <v>3.85</v>
      </c>
      <c r="G49" s="14">
        <f t="shared" si="1"/>
        <v>0.35</v>
      </c>
      <c r="H49" s="14">
        <f t="shared" si="6"/>
        <v>116.307147894718</v>
      </c>
      <c r="I49" s="14">
        <f t="shared" si="7"/>
        <v>23.3555850512983</v>
      </c>
      <c r="J49" s="14">
        <f t="shared" si="8"/>
        <v>113.235896862228</v>
      </c>
      <c r="K49" s="14">
        <f t="shared" si="9"/>
        <v>25.1213123293517</v>
      </c>
      <c r="L49" s="14">
        <f t="shared" si="2"/>
        <v>26.6213123293517</v>
      </c>
      <c r="M49" s="14">
        <f t="shared" si="10"/>
        <v>-23.3555850512983</v>
      </c>
      <c r="N49" s="14">
        <f t="shared" si="11"/>
        <v>113.235896862228</v>
      </c>
      <c r="O49" s="14">
        <f t="shared" si="12"/>
        <v>0.186664291749267</v>
      </c>
      <c r="P49" s="14" t="str">
        <f t="shared" si="3"/>
        <v>23.36,113.24</v>
      </c>
      <c r="Q49" s="14" t="str">
        <f t="shared" si="4"/>
        <v>116.31,25.12</v>
      </c>
      <c r="R49" s="31" t="str">
        <f t="shared" si="5"/>
        <v>23.36,113.24,25.12</v>
      </c>
    </row>
    <row r="50" ht="15.6" spans="1:18">
      <c r="A50" s="11">
        <v>42</v>
      </c>
      <c r="B50" s="12">
        <v>122</v>
      </c>
      <c r="C50" s="12">
        <f t="shared" si="0"/>
        <v>100.59</v>
      </c>
      <c r="D50" s="12">
        <v>129</v>
      </c>
      <c r="E50" s="13">
        <v>10.59</v>
      </c>
      <c r="F50" s="13">
        <v>3.24</v>
      </c>
      <c r="G50" s="14">
        <f t="shared" si="1"/>
        <v>-0.26</v>
      </c>
      <c r="H50" s="14">
        <f t="shared" si="6"/>
        <v>119.252875416642</v>
      </c>
      <c r="I50" s="14">
        <f t="shared" si="7"/>
        <v>23.357898620046</v>
      </c>
      <c r="J50" s="14">
        <f t="shared" si="8"/>
        <v>116.181623475615</v>
      </c>
      <c r="K50" s="14">
        <f t="shared" si="9"/>
        <v>25.6893698674414</v>
      </c>
      <c r="L50" s="14">
        <f t="shared" si="2"/>
        <v>27.1893698674414</v>
      </c>
      <c r="M50" s="14">
        <f t="shared" si="10"/>
        <v>-23.357898620046</v>
      </c>
      <c r="N50" s="14">
        <f t="shared" si="11"/>
        <v>116.181623475615</v>
      </c>
      <c r="O50" s="14">
        <f t="shared" si="12"/>
        <v>0.294628615362117</v>
      </c>
      <c r="P50" s="14" t="str">
        <f t="shared" si="3"/>
        <v>23.36,116.18</v>
      </c>
      <c r="Q50" s="14" t="str">
        <f t="shared" si="4"/>
        <v>119.25,25.69</v>
      </c>
      <c r="R50" s="31" t="str">
        <f t="shared" si="5"/>
        <v>23.36,116.18,25.69</v>
      </c>
    </row>
    <row r="51" ht="15.6" spans="1:18">
      <c r="A51" s="11">
        <v>43</v>
      </c>
      <c r="B51" s="12">
        <v>125</v>
      </c>
      <c r="C51" s="12">
        <f t="shared" si="0"/>
        <v>100.47</v>
      </c>
      <c r="D51" s="12">
        <v>132</v>
      </c>
      <c r="E51" s="13">
        <v>10.47</v>
      </c>
      <c r="F51" s="13">
        <v>2.61</v>
      </c>
      <c r="G51" s="14">
        <f t="shared" si="1"/>
        <v>-0.89</v>
      </c>
      <c r="H51" s="14">
        <f t="shared" si="6"/>
        <v>122.202353480105</v>
      </c>
      <c r="I51" s="14">
        <f t="shared" si="7"/>
        <v>23.3282992074303</v>
      </c>
      <c r="J51" s="14">
        <f t="shared" si="8"/>
        <v>119.13095301326</v>
      </c>
      <c r="K51" s="14">
        <f t="shared" si="9"/>
        <v>26.237620862103</v>
      </c>
      <c r="L51" s="14">
        <f t="shared" si="2"/>
        <v>27.737620862103</v>
      </c>
      <c r="M51" s="14">
        <f t="shared" si="10"/>
        <v>-23.3282992074303</v>
      </c>
      <c r="N51" s="14">
        <f t="shared" si="11"/>
        <v>119.13095301326</v>
      </c>
      <c r="O51" s="14">
        <f t="shared" si="12"/>
        <v>0.210302474090737</v>
      </c>
      <c r="P51" s="14" t="str">
        <f t="shared" si="3"/>
        <v>23.33,119.13</v>
      </c>
      <c r="Q51" s="14" t="str">
        <f t="shared" si="4"/>
        <v>122.2,26.24</v>
      </c>
      <c r="R51" s="31" t="str">
        <f t="shared" si="5"/>
        <v>23.33,119.13,26.24</v>
      </c>
    </row>
    <row r="52" ht="15.6" spans="1:18">
      <c r="A52" s="11">
        <v>44</v>
      </c>
      <c r="B52" s="12">
        <v>128</v>
      </c>
      <c r="C52" s="12">
        <f t="shared" si="0"/>
        <v>99.63</v>
      </c>
      <c r="D52" s="12">
        <v>135</v>
      </c>
      <c r="E52" s="13">
        <v>9.63</v>
      </c>
      <c r="F52" s="13">
        <v>3.23</v>
      </c>
      <c r="G52" s="14">
        <f t="shared" si="1"/>
        <v>-0.27</v>
      </c>
      <c r="H52" s="14">
        <f t="shared" si="6"/>
        <v>125.156321004373</v>
      </c>
      <c r="I52" s="14">
        <f t="shared" si="7"/>
        <v>23.2983969717418</v>
      </c>
      <c r="J52" s="14">
        <f t="shared" si="8"/>
        <v>122.08476918742</v>
      </c>
      <c r="K52" s="14">
        <f t="shared" si="9"/>
        <v>26.761143417084</v>
      </c>
      <c r="L52" s="14">
        <f t="shared" si="2"/>
        <v>28.261143417084</v>
      </c>
      <c r="M52" s="14">
        <f t="shared" si="10"/>
        <v>-23.2983969717419</v>
      </c>
      <c r="N52" s="14">
        <f t="shared" si="11"/>
        <v>122.08476918742</v>
      </c>
      <c r="O52" s="14">
        <f t="shared" si="12"/>
        <v>0.346135249725411</v>
      </c>
      <c r="P52" s="14" t="str">
        <f t="shared" si="3"/>
        <v>23.3,122.08</v>
      </c>
      <c r="Q52" s="14" t="str">
        <f t="shared" si="4"/>
        <v>125.16,26.76</v>
      </c>
      <c r="R52" s="31" t="str">
        <f t="shared" si="5"/>
        <v>23.3,122.08,26.76</v>
      </c>
    </row>
    <row r="53" ht="15.6" spans="1:18">
      <c r="A53" s="11">
        <v>45</v>
      </c>
      <c r="B53" s="12">
        <v>131</v>
      </c>
      <c r="C53" s="12">
        <f t="shared" si="0"/>
        <v>99.03</v>
      </c>
      <c r="D53" s="12">
        <v>138</v>
      </c>
      <c r="E53" s="13">
        <v>9.03</v>
      </c>
      <c r="F53" s="13">
        <v>3.48</v>
      </c>
      <c r="G53" s="14">
        <f t="shared" si="1"/>
        <v>-0.02</v>
      </c>
      <c r="H53" s="14">
        <f t="shared" si="6"/>
        <v>128.116633901088</v>
      </c>
      <c r="I53" s="14">
        <f t="shared" si="7"/>
        <v>23.2909052347329</v>
      </c>
      <c r="J53" s="14">
        <f t="shared" si="8"/>
        <v>125.045072604358</v>
      </c>
      <c r="K53" s="14">
        <f t="shared" si="9"/>
        <v>27.2475049632008</v>
      </c>
      <c r="L53" s="14">
        <f t="shared" si="2"/>
        <v>28.7475049632008</v>
      </c>
      <c r="M53" s="14">
        <f t="shared" si="10"/>
        <v>-23.2909052347329</v>
      </c>
      <c r="N53" s="14">
        <f t="shared" si="11"/>
        <v>125.045072604358</v>
      </c>
      <c r="O53" s="14">
        <f t="shared" si="12"/>
        <v>0.216244898446081</v>
      </c>
      <c r="P53" s="14" t="str">
        <f t="shared" si="3"/>
        <v>23.29,125.05</v>
      </c>
      <c r="Q53" s="14" t="str">
        <f t="shared" si="4"/>
        <v>128.12,27.25</v>
      </c>
      <c r="R53" s="31" t="str">
        <f t="shared" si="5"/>
        <v>23.29,125.05,27.25</v>
      </c>
    </row>
    <row r="54" ht="15.6" spans="1:18">
      <c r="A54" s="11">
        <v>46</v>
      </c>
      <c r="B54" s="12">
        <v>134</v>
      </c>
      <c r="C54" s="12">
        <f t="shared" si="0"/>
        <v>98.84</v>
      </c>
      <c r="D54" s="12">
        <v>141</v>
      </c>
      <c r="E54" s="13">
        <v>8.84</v>
      </c>
      <c r="F54" s="13">
        <v>2.89</v>
      </c>
      <c r="G54" s="14">
        <f t="shared" si="1"/>
        <v>-0.61</v>
      </c>
      <c r="H54" s="14">
        <f t="shared" si="6"/>
        <v>131.080229423828</v>
      </c>
      <c r="I54" s="14">
        <f t="shared" si="7"/>
        <v>23.2746120994474</v>
      </c>
      <c r="J54" s="14">
        <f t="shared" si="8"/>
        <v>128.00862333889</v>
      </c>
      <c r="K54" s="14">
        <f t="shared" si="9"/>
        <v>27.713446566406</v>
      </c>
      <c r="L54" s="14">
        <f t="shared" si="2"/>
        <v>29.213446566406</v>
      </c>
      <c r="M54" s="14">
        <f t="shared" si="10"/>
        <v>-23.2746120994474</v>
      </c>
      <c r="N54" s="14">
        <f t="shared" si="11"/>
        <v>128.00862333889</v>
      </c>
      <c r="O54" s="14">
        <f t="shared" si="12"/>
        <v>0.204342464893508</v>
      </c>
      <c r="P54" s="14" t="str">
        <f t="shared" si="3"/>
        <v>23.27,128.01</v>
      </c>
      <c r="Q54" s="14" t="str">
        <f t="shared" si="4"/>
        <v>131.08,27.71</v>
      </c>
      <c r="R54" s="31" t="str">
        <f t="shared" si="5"/>
        <v>23.27,128.01,27.71</v>
      </c>
    </row>
    <row r="55" ht="15.6" spans="1:18">
      <c r="A55" s="11">
        <v>47</v>
      </c>
      <c r="B55" s="12">
        <v>137</v>
      </c>
      <c r="C55" s="12">
        <f t="shared" si="0"/>
        <v>98.04</v>
      </c>
      <c r="D55" s="12">
        <v>144</v>
      </c>
      <c r="E55" s="13">
        <v>8.04</v>
      </c>
      <c r="F55" s="13">
        <v>3.69</v>
      </c>
      <c r="G55" s="14">
        <f t="shared" si="1"/>
        <v>0.19</v>
      </c>
      <c r="H55" s="14">
        <f t="shared" si="6"/>
        <v>134.047739743923</v>
      </c>
      <c r="I55" s="14">
        <f t="shared" si="7"/>
        <v>23.2637356304079</v>
      </c>
      <c r="J55" s="14">
        <f t="shared" si="8"/>
        <v>130.976113726793</v>
      </c>
      <c r="K55" s="14">
        <f t="shared" si="9"/>
        <v>28.1537674722554</v>
      </c>
      <c r="L55" s="14">
        <f t="shared" si="2"/>
        <v>29.6537674722554</v>
      </c>
      <c r="M55" s="14">
        <f t="shared" si="10"/>
        <v>-23.2637356304079</v>
      </c>
      <c r="N55" s="14">
        <f t="shared" si="11"/>
        <v>130.976113726793</v>
      </c>
      <c r="O55" s="14">
        <f t="shared" si="12"/>
        <v>0.375085432512611</v>
      </c>
      <c r="P55" s="14" t="str">
        <f t="shared" si="3"/>
        <v>23.26,130.98</v>
      </c>
      <c r="Q55" s="14" t="str">
        <f t="shared" si="4"/>
        <v>134.05,28.15</v>
      </c>
      <c r="R55" s="31" t="str">
        <f t="shared" si="5"/>
        <v>23.26,130.98,28.15</v>
      </c>
    </row>
    <row r="56" ht="15.6" spans="1:18">
      <c r="A56" s="11">
        <v>48</v>
      </c>
      <c r="B56" s="12">
        <v>140</v>
      </c>
      <c r="C56" s="12">
        <f t="shared" si="0"/>
        <v>97.63</v>
      </c>
      <c r="D56" s="12">
        <v>147</v>
      </c>
      <c r="E56" s="13">
        <v>7.63</v>
      </c>
      <c r="F56" s="13">
        <v>4.25</v>
      </c>
      <c r="G56" s="14">
        <f t="shared" si="1"/>
        <v>0.75</v>
      </c>
      <c r="H56" s="14">
        <f t="shared" si="6"/>
        <v>137.01973399902</v>
      </c>
      <c r="I56" s="14">
        <f t="shared" si="7"/>
        <v>23.2881147669916</v>
      </c>
      <c r="J56" s="14">
        <f t="shared" si="8"/>
        <v>133.948007989722</v>
      </c>
      <c r="K56" s="14">
        <f t="shared" si="9"/>
        <v>28.5627297537274</v>
      </c>
      <c r="L56" s="14">
        <f t="shared" si="2"/>
        <v>30.0627297537274</v>
      </c>
      <c r="M56" s="14">
        <f t="shared" si="10"/>
        <v>-23.2881147669917</v>
      </c>
      <c r="N56" s="14">
        <f t="shared" si="11"/>
        <v>133.948007989722</v>
      </c>
      <c r="O56" s="14">
        <f t="shared" si="12"/>
        <v>0.229944637796352</v>
      </c>
      <c r="P56" s="14" t="str">
        <f t="shared" si="3"/>
        <v>23.29,133.95</v>
      </c>
      <c r="Q56" s="14" t="str">
        <f t="shared" si="4"/>
        <v>137.02,28.56</v>
      </c>
      <c r="R56" s="31" t="str">
        <f t="shared" si="5"/>
        <v>23.29,133.95,28.56</v>
      </c>
    </row>
    <row r="57" ht="15.6" spans="1:18">
      <c r="A57" s="11">
        <v>49</v>
      </c>
      <c r="B57" s="12">
        <v>143</v>
      </c>
      <c r="C57" s="12">
        <f t="shared" si="0"/>
        <v>96.25</v>
      </c>
      <c r="D57" s="12">
        <v>150</v>
      </c>
      <c r="E57" s="13">
        <v>6.25</v>
      </c>
      <c r="F57" s="13">
        <v>4.61</v>
      </c>
      <c r="G57" s="14">
        <f t="shared" si="1"/>
        <v>1.11</v>
      </c>
      <c r="H57" s="14">
        <f t="shared" si="6"/>
        <v>139.997753685036</v>
      </c>
      <c r="I57" s="14">
        <f t="shared" si="7"/>
        <v>23.3364505557733</v>
      </c>
      <c r="J57" s="14">
        <f t="shared" si="8"/>
        <v>136.925635384447</v>
      </c>
      <c r="K57" s="14">
        <f t="shared" si="9"/>
        <v>28.9252194083474</v>
      </c>
      <c r="L57" s="14">
        <f t="shared" si="2"/>
        <v>30.4252194083474</v>
      </c>
      <c r="M57" s="14">
        <f t="shared" si="10"/>
        <v>-23.3364505557734</v>
      </c>
      <c r="N57" s="14">
        <f t="shared" si="11"/>
        <v>136.925635384447</v>
      </c>
      <c r="O57" s="14">
        <f t="shared" si="12"/>
        <v>0.47517264741061</v>
      </c>
      <c r="P57" s="14" t="str">
        <f t="shared" si="3"/>
        <v>23.34,136.93</v>
      </c>
      <c r="Q57" s="14" t="str">
        <f t="shared" si="4"/>
        <v>140,28.93</v>
      </c>
      <c r="R57" s="31" t="str">
        <f t="shared" si="5"/>
        <v>23.34,136.93,28.93</v>
      </c>
    </row>
    <row r="58" ht="15.6" spans="1:18">
      <c r="A58" s="11">
        <v>50</v>
      </c>
      <c r="B58" s="12">
        <v>146</v>
      </c>
      <c r="C58" s="12">
        <f t="shared" si="0"/>
        <v>95.36</v>
      </c>
      <c r="D58" s="12">
        <v>153</v>
      </c>
      <c r="E58" s="13">
        <v>5.36</v>
      </c>
      <c r="F58" s="13">
        <v>4.87</v>
      </c>
      <c r="G58" s="14">
        <f t="shared" si="1"/>
        <v>1.37</v>
      </c>
      <c r="H58" s="14">
        <f t="shared" si="6"/>
        <v>142.982369343681</v>
      </c>
      <c r="I58" s="14">
        <f t="shared" si="7"/>
        <v>23.4010388125118</v>
      </c>
      <c r="J58" s="14">
        <f t="shared" si="8"/>
        <v>139.909552103613</v>
      </c>
      <c r="K58" s="14">
        <f t="shared" si="9"/>
        <v>29.228648757902</v>
      </c>
      <c r="L58" s="14">
        <f t="shared" si="2"/>
        <v>30.728648757902</v>
      </c>
      <c r="M58" s="14">
        <f t="shared" si="10"/>
        <v>-23.4010388125119</v>
      </c>
      <c r="N58" s="14">
        <f t="shared" si="11"/>
        <v>139.909552103613</v>
      </c>
      <c r="O58" s="14">
        <f t="shared" si="12"/>
        <v>0.308942114047079</v>
      </c>
      <c r="P58" s="14" t="str">
        <f t="shared" si="3"/>
        <v>23.4,139.91</v>
      </c>
      <c r="Q58" s="14" t="str">
        <f t="shared" si="4"/>
        <v>142.98,29.23</v>
      </c>
      <c r="R58" s="31" t="str">
        <f t="shared" si="5"/>
        <v>23.4,139.91,29.23</v>
      </c>
    </row>
    <row r="59" ht="15.6" spans="1:18">
      <c r="A59" s="11">
        <v>51</v>
      </c>
      <c r="B59" s="12">
        <v>149</v>
      </c>
      <c r="C59" s="12">
        <f t="shared" si="0"/>
        <v>94.94</v>
      </c>
      <c r="D59" s="12">
        <v>156</v>
      </c>
      <c r="E59" s="13">
        <v>4.94</v>
      </c>
      <c r="F59" s="13">
        <v>4.32</v>
      </c>
      <c r="G59" s="14">
        <f t="shared" si="1"/>
        <v>0.82</v>
      </c>
      <c r="H59" s="14">
        <f t="shared" si="6"/>
        <v>145.970258677424</v>
      </c>
      <c r="I59" s="14">
        <f t="shared" si="7"/>
        <v>23.4581379511939</v>
      </c>
      <c r="J59" s="14">
        <f t="shared" si="8"/>
        <v>142.896895799786</v>
      </c>
      <c r="K59" s="14">
        <f t="shared" si="9"/>
        <v>29.4979391760365</v>
      </c>
      <c r="L59" s="14">
        <f t="shared" si="2"/>
        <v>30.9979391760365</v>
      </c>
      <c r="M59" s="14">
        <f t="shared" si="10"/>
        <v>-23.4581379511939</v>
      </c>
      <c r="N59" s="14">
        <f t="shared" si="11"/>
        <v>142.896895799786</v>
      </c>
      <c r="O59" s="14">
        <f t="shared" si="12"/>
        <v>0.230087233947921</v>
      </c>
      <c r="P59" s="14" t="str">
        <f t="shared" si="3"/>
        <v>23.46,142.9</v>
      </c>
      <c r="Q59" s="14" t="str">
        <f t="shared" si="4"/>
        <v>145.97,29.5</v>
      </c>
      <c r="R59" s="31" t="str">
        <f t="shared" si="5"/>
        <v>23.46,142.9,29.5</v>
      </c>
    </row>
    <row r="60" ht="15.6" spans="1:18">
      <c r="A60" s="11">
        <v>52</v>
      </c>
      <c r="B60" s="12">
        <v>152</v>
      </c>
      <c r="C60" s="12">
        <f t="shared" si="0"/>
        <v>93.65</v>
      </c>
      <c r="D60" s="12">
        <v>159</v>
      </c>
      <c r="E60" s="13">
        <v>3.65</v>
      </c>
      <c r="F60" s="13">
        <v>3.64</v>
      </c>
      <c r="G60" s="14">
        <f t="shared" si="1"/>
        <v>0.14</v>
      </c>
      <c r="H60" s="14">
        <f t="shared" si="6"/>
        <v>148.961833695994</v>
      </c>
      <c r="I60" s="14">
        <f t="shared" si="7"/>
        <v>23.4831998183044</v>
      </c>
      <c r="J60" s="14">
        <f t="shared" si="8"/>
        <v>145.888365838838</v>
      </c>
      <c r="K60" s="14">
        <f t="shared" si="9"/>
        <v>29.7226142932019</v>
      </c>
      <c r="L60" s="14">
        <f t="shared" si="2"/>
        <v>31.2226142932019</v>
      </c>
      <c r="M60" s="14">
        <f t="shared" si="10"/>
        <v>-23.4831998183044</v>
      </c>
      <c r="N60" s="14">
        <f t="shared" si="11"/>
        <v>145.888365838838</v>
      </c>
      <c r="O60" s="14">
        <f t="shared" si="12"/>
        <v>0.485785357628616</v>
      </c>
      <c r="P60" s="14" t="str">
        <f t="shared" si="3"/>
        <v>23.48,145.89</v>
      </c>
      <c r="Q60" s="14" t="str">
        <f t="shared" si="4"/>
        <v>148.96,29.72</v>
      </c>
      <c r="R60" s="31" t="str">
        <f t="shared" si="5"/>
        <v>23.48,145.89,29.72</v>
      </c>
    </row>
    <row r="61" ht="15.6" spans="1:18">
      <c r="A61" s="11">
        <v>53</v>
      </c>
      <c r="B61" s="12">
        <v>155</v>
      </c>
      <c r="C61" s="12">
        <f t="shared" si="0"/>
        <v>93.84</v>
      </c>
      <c r="D61" s="12">
        <v>162</v>
      </c>
      <c r="E61" s="13">
        <v>3.84</v>
      </c>
      <c r="F61" s="13">
        <v>2.81</v>
      </c>
      <c r="G61" s="14">
        <f t="shared" si="1"/>
        <v>-0.69</v>
      </c>
      <c r="H61" s="14">
        <f t="shared" si="6"/>
        <v>151.95542757681</v>
      </c>
      <c r="I61" s="14">
        <f t="shared" si="7"/>
        <v>23.4688316543062</v>
      </c>
      <c r="J61" s="14">
        <f t="shared" si="8"/>
        <v>148.881925238469</v>
      </c>
      <c r="K61" s="14">
        <f t="shared" si="9"/>
        <v>29.9185624412903</v>
      </c>
      <c r="L61" s="14">
        <f t="shared" si="2"/>
        <v>31.4185624412903</v>
      </c>
      <c r="M61" s="14">
        <f t="shared" si="10"/>
        <v>-23.4688316543062</v>
      </c>
      <c r="N61" s="14">
        <f t="shared" si="11"/>
        <v>148.881925238469</v>
      </c>
      <c r="O61" s="14">
        <f t="shared" si="12"/>
        <v>0.283247111662669</v>
      </c>
      <c r="P61" s="14" t="str">
        <f t="shared" si="3"/>
        <v>23.47,148.88</v>
      </c>
      <c r="Q61" s="14" t="str">
        <f t="shared" si="4"/>
        <v>151.96,29.92</v>
      </c>
      <c r="R61" s="31" t="str">
        <f t="shared" si="5"/>
        <v>23.47,148.88,29.92</v>
      </c>
    </row>
    <row r="62" ht="15.6" spans="1:18">
      <c r="A62" s="11">
        <v>54</v>
      </c>
      <c r="B62" s="12">
        <v>158</v>
      </c>
      <c r="C62" s="12">
        <f t="shared" si="0"/>
        <v>92.14</v>
      </c>
      <c r="D62" s="12">
        <v>165</v>
      </c>
      <c r="E62" s="13">
        <v>2.14</v>
      </c>
      <c r="F62" s="13">
        <v>3.09</v>
      </c>
      <c r="G62" s="14">
        <f t="shared" si="1"/>
        <v>-0.41</v>
      </c>
      <c r="H62" s="14">
        <f t="shared" si="6"/>
        <v>154.951343538486</v>
      </c>
      <c r="I62" s="14">
        <f t="shared" si="7"/>
        <v>23.4400733672705</v>
      </c>
      <c r="J62" s="14">
        <f t="shared" si="8"/>
        <v>151.877703169217</v>
      </c>
      <c r="K62" s="14">
        <f t="shared" si="9"/>
        <v>30.0750474264288</v>
      </c>
      <c r="L62" s="14">
        <f t="shared" si="2"/>
        <v>31.5750474264288</v>
      </c>
      <c r="M62" s="14">
        <f t="shared" si="10"/>
        <v>-23.4400733672705</v>
      </c>
      <c r="N62" s="14">
        <f t="shared" si="11"/>
        <v>151.877703169217</v>
      </c>
      <c r="O62" s="14">
        <f t="shared" si="12"/>
        <v>0.574280313168003</v>
      </c>
      <c r="P62" s="14" t="str">
        <f t="shared" si="3"/>
        <v>23.44,151.88</v>
      </c>
      <c r="Q62" s="14" t="str">
        <f t="shared" si="4"/>
        <v>154.95,30.08</v>
      </c>
      <c r="R62" s="31" t="str">
        <f t="shared" si="5"/>
        <v>23.44,151.88,30.08</v>
      </c>
    </row>
    <row r="63" ht="15.6" spans="1:18">
      <c r="A63" s="11">
        <v>55</v>
      </c>
      <c r="B63" s="12">
        <v>161</v>
      </c>
      <c r="C63" s="12">
        <f t="shared" si="0"/>
        <v>93.32</v>
      </c>
      <c r="D63" s="12">
        <v>168</v>
      </c>
      <c r="E63" s="13">
        <v>3.32</v>
      </c>
      <c r="F63" s="13">
        <v>3.55</v>
      </c>
      <c r="G63" s="14">
        <f t="shared" si="1"/>
        <v>0.0499999999999998</v>
      </c>
      <c r="H63" s="14">
        <f t="shared" si="6"/>
        <v>157.947938757959</v>
      </c>
      <c r="I63" s="14">
        <f t="shared" si="7"/>
        <v>23.4306593012287</v>
      </c>
      <c r="J63" s="14">
        <f t="shared" si="8"/>
        <v>154.874283601097</v>
      </c>
      <c r="K63" s="14">
        <f t="shared" si="9"/>
        <v>30.2179358116607</v>
      </c>
      <c r="L63" s="14">
        <f t="shared" si="2"/>
        <v>31.7179358116607</v>
      </c>
      <c r="M63" s="14">
        <f t="shared" si="10"/>
        <v>-23.4306593012288</v>
      </c>
      <c r="N63" s="14">
        <f t="shared" si="11"/>
        <v>154.874283601097</v>
      </c>
      <c r="O63" s="14">
        <f t="shared" si="12"/>
        <v>0.422099574321231</v>
      </c>
      <c r="P63" s="14" t="str">
        <f t="shared" si="3"/>
        <v>23.43,154.87</v>
      </c>
      <c r="Q63" s="14" t="str">
        <f t="shared" si="4"/>
        <v>157.95,30.22</v>
      </c>
      <c r="R63" s="31" t="str">
        <f t="shared" si="5"/>
        <v>23.43,154.87,30.22</v>
      </c>
    </row>
    <row r="64" ht="15.6" spans="1:18">
      <c r="A64" s="11">
        <v>56</v>
      </c>
      <c r="B64" s="12">
        <v>164</v>
      </c>
      <c r="C64" s="12">
        <f t="shared" si="0"/>
        <v>92.64</v>
      </c>
      <c r="D64" s="12">
        <v>171</v>
      </c>
      <c r="E64" s="13">
        <v>2.64</v>
      </c>
      <c r="F64" s="13">
        <v>4.36</v>
      </c>
      <c r="G64" s="14">
        <f t="shared" si="1"/>
        <v>0.86</v>
      </c>
      <c r="H64" s="14">
        <f t="shared" si="6"/>
        <v>160.943881985787</v>
      </c>
      <c r="I64" s="14">
        <f t="shared" si="7"/>
        <v>23.4544505796224</v>
      </c>
      <c r="J64" s="14">
        <f t="shared" si="8"/>
        <v>157.870132362206</v>
      </c>
      <c r="K64" s="14">
        <f t="shared" si="9"/>
        <v>30.373897908442</v>
      </c>
      <c r="L64" s="14">
        <f t="shared" si="2"/>
        <v>31.873897908442</v>
      </c>
      <c r="M64" s="14">
        <f t="shared" si="10"/>
        <v>-23.4544505796225</v>
      </c>
      <c r="N64" s="14">
        <f t="shared" si="11"/>
        <v>157.870132362206</v>
      </c>
      <c r="O64" s="14">
        <f t="shared" si="12"/>
        <v>0.352249752814002</v>
      </c>
      <c r="P64" s="14" t="str">
        <f t="shared" si="3"/>
        <v>23.45,157.87</v>
      </c>
      <c r="Q64" s="14" t="str">
        <f t="shared" si="4"/>
        <v>160.94,30.37</v>
      </c>
      <c r="R64" s="31" t="str">
        <f t="shared" si="5"/>
        <v>23.45,157.87,30.37</v>
      </c>
    </row>
    <row r="65" ht="15.6" spans="1:18">
      <c r="A65" s="11">
        <v>57</v>
      </c>
      <c r="B65" s="12">
        <v>167</v>
      </c>
      <c r="C65" s="12">
        <f t="shared" si="0"/>
        <v>93.58</v>
      </c>
      <c r="D65" s="12">
        <v>174</v>
      </c>
      <c r="E65" s="13">
        <v>3.58</v>
      </c>
      <c r="F65" s="13">
        <v>5.67</v>
      </c>
      <c r="G65" s="14">
        <f t="shared" si="1"/>
        <v>2.17</v>
      </c>
      <c r="H65" s="14">
        <f t="shared" si="6"/>
        <v>163.939463635539</v>
      </c>
      <c r="I65" s="14">
        <f t="shared" si="7"/>
        <v>23.5336497356259</v>
      </c>
      <c r="J65" s="14">
        <f t="shared" si="8"/>
        <v>160.864666869275</v>
      </c>
      <c r="K65" s="14">
        <f t="shared" si="9"/>
        <v>30.5366571775006</v>
      </c>
      <c r="L65" s="14">
        <f t="shared" si="2"/>
        <v>32.0366571775006</v>
      </c>
      <c r="M65" s="14">
        <f t="shared" si="10"/>
        <v>-23.5336497356259</v>
      </c>
      <c r="N65" s="14">
        <f t="shared" si="11"/>
        <v>160.864666869275</v>
      </c>
      <c r="O65" s="14">
        <f t="shared" si="12"/>
        <v>0.536926427455111</v>
      </c>
      <c r="P65" s="14" t="str">
        <f t="shared" si="3"/>
        <v>23.53,160.86</v>
      </c>
      <c r="Q65" s="14" t="str">
        <f t="shared" si="4"/>
        <v>163.94,30.54</v>
      </c>
      <c r="R65" s="31" t="str">
        <f t="shared" si="5"/>
        <v>23.53,160.86,30.54</v>
      </c>
    </row>
    <row r="66" ht="15.6" spans="1:18">
      <c r="A66" s="11">
        <v>58</v>
      </c>
      <c r="B66" s="12">
        <v>170</v>
      </c>
      <c r="C66" s="12">
        <f t="shared" si="0"/>
        <v>92.61</v>
      </c>
      <c r="D66" s="12">
        <v>177</v>
      </c>
      <c r="E66" s="13">
        <v>2.61</v>
      </c>
      <c r="F66" s="13">
        <v>5.37</v>
      </c>
      <c r="G66" s="14">
        <f t="shared" si="1"/>
        <v>1.87</v>
      </c>
      <c r="H66" s="14">
        <f t="shared" si="6"/>
        <v>166.935087792912</v>
      </c>
      <c r="I66" s="14">
        <f t="shared" si="7"/>
        <v>23.6392405377375</v>
      </c>
      <c r="J66" s="14">
        <f t="shared" si="8"/>
        <v>163.858429497597</v>
      </c>
      <c r="K66" s="14">
        <f t="shared" si="9"/>
        <v>30.6986321995485</v>
      </c>
      <c r="L66" s="14">
        <f t="shared" si="2"/>
        <v>32.1986321995485</v>
      </c>
      <c r="M66" s="14">
        <f t="shared" si="10"/>
        <v>-23.6392405377375</v>
      </c>
      <c r="N66" s="14">
        <f t="shared" si="11"/>
        <v>163.858429497597</v>
      </c>
      <c r="O66" s="14">
        <f t="shared" si="12"/>
        <v>0.338400728619433</v>
      </c>
      <c r="P66" s="14" t="str">
        <f t="shared" si="3"/>
        <v>23.64,163.86</v>
      </c>
      <c r="Q66" s="14" t="str">
        <f t="shared" si="4"/>
        <v>166.94,30.7</v>
      </c>
      <c r="R66" s="31" t="str">
        <f t="shared" si="5"/>
        <v>23.64,163.86,30.7</v>
      </c>
    </row>
    <row r="67" ht="15.6" spans="1:18">
      <c r="A67" s="11">
        <v>59</v>
      </c>
      <c r="B67" s="12">
        <v>173</v>
      </c>
      <c r="C67" s="12">
        <f t="shared" si="0"/>
        <v>91.25</v>
      </c>
      <c r="D67" s="12">
        <v>180</v>
      </c>
      <c r="E67" s="13">
        <v>1.25</v>
      </c>
      <c r="F67" s="13">
        <v>4.63</v>
      </c>
      <c r="G67" s="14">
        <f t="shared" si="1"/>
        <v>1.13</v>
      </c>
      <c r="H67" s="14">
        <f t="shared" si="6"/>
        <v>169.933385949699</v>
      </c>
      <c r="I67" s="14">
        <f t="shared" si="7"/>
        <v>23.7177268335993</v>
      </c>
      <c r="J67" s="14">
        <f t="shared" si="8"/>
        <v>166.855700212491</v>
      </c>
      <c r="K67" s="14">
        <f t="shared" si="9"/>
        <v>30.7996676537359</v>
      </c>
      <c r="L67" s="14">
        <f t="shared" si="2"/>
        <v>32.2996676537359</v>
      </c>
      <c r="M67" s="14">
        <f t="shared" si="10"/>
        <v>-23.7177268335994</v>
      </c>
      <c r="N67" s="14">
        <f t="shared" si="11"/>
        <v>166.855700212491</v>
      </c>
      <c r="O67" s="14">
        <f t="shared" si="12"/>
        <v>0.51602682014461</v>
      </c>
      <c r="P67" s="14" t="str">
        <f t="shared" si="3"/>
        <v>23.72,166.86</v>
      </c>
      <c r="Q67" s="14" t="str">
        <f t="shared" si="4"/>
        <v>169.93,30.8</v>
      </c>
      <c r="R67" s="31" t="str">
        <f t="shared" si="5"/>
        <v>23.72,166.86,30.8</v>
      </c>
    </row>
    <row r="68" ht="15.6" spans="1:18">
      <c r="A68" s="11">
        <v>60</v>
      </c>
      <c r="B68" s="12">
        <v>176</v>
      </c>
      <c r="C68" s="12">
        <f t="shared" si="0"/>
        <v>90.63</v>
      </c>
      <c r="D68" s="12">
        <v>183</v>
      </c>
      <c r="E68" s="13">
        <v>0.63</v>
      </c>
      <c r="F68" s="13">
        <v>4.94</v>
      </c>
      <c r="G68" s="14">
        <f t="shared" si="1"/>
        <v>1.44</v>
      </c>
      <c r="H68" s="14">
        <f t="shared" si="6"/>
        <v>172.932982218827</v>
      </c>
      <c r="I68" s="14">
        <f t="shared" si="7"/>
        <v>23.7849945820776</v>
      </c>
      <c r="J68" s="14">
        <f t="shared" si="8"/>
        <v>169.854542126927</v>
      </c>
      <c r="K68" s="14">
        <f t="shared" si="9"/>
        <v>30.84888373074</v>
      </c>
      <c r="L68" s="14">
        <f t="shared" si="2"/>
        <v>32.34888373074</v>
      </c>
      <c r="M68" s="14">
        <f t="shared" si="10"/>
        <v>-23.7849945820776</v>
      </c>
      <c r="N68" s="14">
        <f t="shared" si="11"/>
        <v>169.854542126927</v>
      </c>
      <c r="O68" s="14">
        <f t="shared" si="12"/>
        <v>0.231053913319489</v>
      </c>
      <c r="P68" s="14" t="str">
        <f t="shared" si="3"/>
        <v>23.78,169.85</v>
      </c>
      <c r="Q68" s="14" t="str">
        <f t="shared" si="4"/>
        <v>172.93,30.85</v>
      </c>
      <c r="R68" s="31" t="str">
        <f t="shared" si="5"/>
        <v>23.78,169.85,30.85</v>
      </c>
    </row>
    <row r="69" ht="15.6" spans="1:18">
      <c r="A69" s="11">
        <v>61</v>
      </c>
      <c r="B69" s="12">
        <v>179</v>
      </c>
      <c r="C69" s="12">
        <f t="shared" si="0"/>
        <v>90.25</v>
      </c>
      <c r="D69" s="12">
        <v>186</v>
      </c>
      <c r="E69" s="13">
        <v>0.25</v>
      </c>
      <c r="F69" s="13">
        <v>4.31</v>
      </c>
      <c r="G69" s="14">
        <f t="shared" si="1"/>
        <v>0.81</v>
      </c>
      <c r="H69" s="14">
        <f t="shared" si="6"/>
        <v>175.932893758363</v>
      </c>
      <c r="I69" s="14">
        <f t="shared" si="7"/>
        <v>23.8438939226539</v>
      </c>
      <c r="J69" s="14">
        <f t="shared" si="8"/>
        <v>172.853875404961</v>
      </c>
      <c r="K69" s="14">
        <f t="shared" si="9"/>
        <v>30.8719218504233</v>
      </c>
      <c r="L69" s="14">
        <f t="shared" si="2"/>
        <v>32.3719218504233</v>
      </c>
      <c r="M69" s="14">
        <f t="shared" si="10"/>
        <v>-23.843893922654</v>
      </c>
      <c r="N69" s="14">
        <f t="shared" si="11"/>
        <v>172.853875404961</v>
      </c>
      <c r="O69" s="14">
        <f t="shared" si="12"/>
        <v>0.245238011018037</v>
      </c>
      <c r="P69" s="14" t="str">
        <f t="shared" si="3"/>
        <v>23.84,172.85</v>
      </c>
      <c r="Q69" s="14" t="str">
        <f t="shared" si="4"/>
        <v>175.93,30.87</v>
      </c>
      <c r="R69" s="31" t="str">
        <f t="shared" si="5"/>
        <v>23.84,172.85,30.87</v>
      </c>
    </row>
    <row r="70" ht="15.6" spans="1:18">
      <c r="A70" s="11">
        <v>62</v>
      </c>
      <c r="B70" s="12">
        <v>182</v>
      </c>
      <c r="C70" s="12">
        <f t="shared" si="0"/>
        <v>89.04</v>
      </c>
      <c r="D70" s="12">
        <v>189</v>
      </c>
      <c r="E70" s="13">
        <v>-0.96</v>
      </c>
      <c r="F70" s="13">
        <v>3.61</v>
      </c>
      <c r="G70" s="14">
        <f t="shared" si="1"/>
        <v>0.11</v>
      </c>
      <c r="H70" s="14">
        <f t="shared" si="6"/>
        <v>178.932836174432</v>
      </c>
      <c r="I70" s="14">
        <f t="shared" si="7"/>
        <v>23.8679787452767</v>
      </c>
      <c r="J70" s="14">
        <f t="shared" si="8"/>
        <v>175.853721137836</v>
      </c>
      <c r="K70" s="14">
        <f t="shared" si="9"/>
        <v>30.8533342128182</v>
      </c>
      <c r="L70" s="14">
        <f t="shared" si="2"/>
        <v>32.3533342128182</v>
      </c>
      <c r="M70" s="14">
        <f t="shared" si="10"/>
        <v>-23.8679787452767</v>
      </c>
      <c r="N70" s="14">
        <f t="shared" si="11"/>
        <v>175.853721137836</v>
      </c>
      <c r="O70" s="14">
        <f t="shared" si="12"/>
        <v>0.465959342091826</v>
      </c>
      <c r="P70" s="14" t="str">
        <f t="shared" si="3"/>
        <v>23.87,175.85</v>
      </c>
      <c r="Q70" s="14" t="str">
        <f t="shared" si="4"/>
        <v>178.93,30.85</v>
      </c>
      <c r="R70" s="31" t="str">
        <f t="shared" si="5"/>
        <v>23.87,175.85,30.85</v>
      </c>
    </row>
    <row r="71" ht="15.6" spans="1:18">
      <c r="A71" s="11">
        <v>63</v>
      </c>
      <c r="B71" s="12">
        <v>185</v>
      </c>
      <c r="C71" s="12">
        <f t="shared" si="0"/>
        <v>89.53</v>
      </c>
      <c r="D71" s="12">
        <v>192</v>
      </c>
      <c r="E71" s="13">
        <v>-0.47</v>
      </c>
      <c r="F71" s="13">
        <v>3.14</v>
      </c>
      <c r="G71" s="14">
        <f t="shared" si="1"/>
        <v>-0.36</v>
      </c>
      <c r="H71" s="14">
        <f t="shared" si="6"/>
        <v>181.932602585402</v>
      </c>
      <c r="I71" s="14">
        <f t="shared" si="7"/>
        <v>23.8614342753854</v>
      </c>
      <c r="J71" s="14">
        <f t="shared" si="8"/>
        <v>178.853480409895</v>
      </c>
      <c r="K71" s="14">
        <f t="shared" si="9"/>
        <v>30.8158978720286</v>
      </c>
      <c r="L71" s="14">
        <f t="shared" si="2"/>
        <v>32.3158978720286</v>
      </c>
      <c r="M71" s="14">
        <f t="shared" si="10"/>
        <v>-23.8614342753855</v>
      </c>
      <c r="N71" s="14">
        <f t="shared" si="11"/>
        <v>178.853480409895</v>
      </c>
      <c r="O71" s="14">
        <f t="shared" si="12"/>
        <v>0.226314494671572</v>
      </c>
      <c r="P71" s="14" t="str">
        <f t="shared" si="3"/>
        <v>23.86,178.85</v>
      </c>
      <c r="Q71" s="14" t="str">
        <f t="shared" si="4"/>
        <v>181.93,30.82</v>
      </c>
      <c r="R71" s="31" t="str">
        <f t="shared" si="5"/>
        <v>23.86,178.85,30.82</v>
      </c>
    </row>
    <row r="72" ht="15.6" spans="1:18">
      <c r="A72" s="11">
        <v>64</v>
      </c>
      <c r="B72" s="12">
        <v>188</v>
      </c>
      <c r="C72" s="12">
        <f t="shared" si="0"/>
        <v>89.15</v>
      </c>
      <c r="D72" s="12">
        <v>195</v>
      </c>
      <c r="E72" s="13">
        <v>-0.85</v>
      </c>
      <c r="F72" s="13">
        <v>2.85</v>
      </c>
      <c r="G72" s="14">
        <f t="shared" si="1"/>
        <v>-0.65</v>
      </c>
      <c r="H72" s="14">
        <f t="shared" si="6"/>
        <v>184.932403550581</v>
      </c>
      <c r="I72" s="14">
        <f t="shared" si="7"/>
        <v>23.8349946338239</v>
      </c>
      <c r="J72" s="14">
        <f t="shared" si="8"/>
        <v>181.853164855972</v>
      </c>
      <c r="K72" s="14">
        <f t="shared" si="9"/>
        <v>30.7813411170813</v>
      </c>
      <c r="L72" s="14">
        <f t="shared" si="2"/>
        <v>32.2813411170813</v>
      </c>
      <c r="M72" s="14">
        <f t="shared" si="10"/>
        <v>-23.8349946338239</v>
      </c>
      <c r="N72" s="14">
        <f t="shared" si="11"/>
        <v>181.853164855972</v>
      </c>
      <c r="O72" s="14">
        <f t="shared" si="12"/>
        <v>0.159334913789614</v>
      </c>
      <c r="P72" s="14" t="str">
        <f t="shared" si="3"/>
        <v>23.83,181.85</v>
      </c>
      <c r="Q72" s="14" t="str">
        <f t="shared" si="4"/>
        <v>184.93,30.78</v>
      </c>
      <c r="R72" s="31" t="str">
        <f t="shared" si="5"/>
        <v>23.83,181.85,30.78</v>
      </c>
    </row>
    <row r="73" ht="15.6" spans="1:18">
      <c r="A73" s="11">
        <v>65</v>
      </c>
      <c r="B73" s="12">
        <v>191</v>
      </c>
      <c r="C73" s="12">
        <f t="shared" ref="C73:C136" si="13">90+E73</f>
        <v>88.77</v>
      </c>
      <c r="D73" s="12">
        <v>198</v>
      </c>
      <c r="E73" s="13">
        <v>-1.23</v>
      </c>
      <c r="F73" s="13">
        <v>2.47</v>
      </c>
      <c r="G73" s="14">
        <f t="shared" ref="G73:G136" si="14">F73-3.5</f>
        <v>-1.03</v>
      </c>
      <c r="H73" s="14">
        <f t="shared" si="6"/>
        <v>187.931909352848</v>
      </c>
      <c r="I73" s="14">
        <f t="shared" si="7"/>
        <v>23.7910211572926</v>
      </c>
      <c r="J73" s="14">
        <f t="shared" si="8"/>
        <v>184.852348310047</v>
      </c>
      <c r="K73" s="14">
        <f t="shared" si="9"/>
        <v>30.7268898345828</v>
      </c>
      <c r="L73" s="14">
        <f t="shared" ref="L73:L136" si="15">K73+$L$6</f>
        <v>32.2268898345828</v>
      </c>
      <c r="M73" s="14">
        <f t="shared" si="10"/>
        <v>-23.7910211572926</v>
      </c>
      <c r="N73" s="14">
        <f t="shared" si="11"/>
        <v>184.852348310047</v>
      </c>
      <c r="O73" s="14">
        <f t="shared" si="12"/>
        <v>0.179118799595989</v>
      </c>
      <c r="P73" s="14" t="str">
        <f t="shared" ref="P73:P136" si="16">ROUND(I73,2)*$N$6*1000&amp;","&amp;ROUND(J73,2)*$N$6*1000</f>
        <v>23.79,184.85</v>
      </c>
      <c r="Q73" s="14" t="str">
        <f t="shared" ref="Q73:Q136" si="17">ROUND(H73,2)*$N$6*1000&amp;","&amp;ROUND(K73,2)*$N$6*1000</f>
        <v>187.93,30.73</v>
      </c>
      <c r="R73" s="31" t="str">
        <f t="shared" ref="R73:R136" si="18">ROUND(I73,2)*$N$6*1000&amp;","&amp;ROUND(J73,2)*$N$6*1000&amp;","&amp;ROUND(K73,2)*$N$6*1000</f>
        <v>23.79,184.85,30.73</v>
      </c>
    </row>
    <row r="74" ht="15.6" spans="1:18">
      <c r="A74" s="11">
        <v>66</v>
      </c>
      <c r="B74" s="12">
        <v>194</v>
      </c>
      <c r="C74" s="12">
        <f t="shared" si="13"/>
        <v>89.31</v>
      </c>
      <c r="D74" s="12">
        <v>201</v>
      </c>
      <c r="E74" s="13">
        <v>-0.69</v>
      </c>
      <c r="F74" s="13">
        <v>1.03</v>
      </c>
      <c r="G74" s="14">
        <f t="shared" si="14"/>
        <v>-2.47</v>
      </c>
      <c r="H74" s="14">
        <f t="shared" ref="H74:H137" si="19">H73+(B74-B73)*COS(RADIANS((E74+E73)/2))</f>
        <v>190.931488259578</v>
      </c>
      <c r="I74" s="14">
        <f t="shared" ref="I74:I137" si="20">IF(ABS(G74-G73)&gt;270,I73+(B74-B73)*COS(RADIANS((E74+E73)/2))*SIN(RADIANS((G74+G73+360)/2)),I73+(B74-B73)*COS(RADIANS((E74+E73)/2))*SIN(RADIANS((G74+G73)/2)))</f>
        <v>23.6994184772255</v>
      </c>
      <c r="J74" s="14">
        <f t="shared" ref="J74:J137" si="21">IF(ABS(G74-G73)&gt;270,J73+(B74-B73)*COS(RADIANS((E74+E73)/2))*COS(RADIANS((G74+G73+360)/2)),J73+(B74-B73)*COS(RADIANS((E74+E73)/2))*COS(RADIANS((G74+G73)/2)))</f>
        <v>187.850528185689</v>
      </c>
      <c r="K74" s="14">
        <f t="shared" ref="K74:K137" si="22">K73+(B74-B73)*SIN(RADIANS((E74+E73)/2))</f>
        <v>30.6766267039759</v>
      </c>
      <c r="L74" s="14">
        <f t="shared" si="15"/>
        <v>32.1766267039759</v>
      </c>
      <c r="M74" s="14">
        <f t="shared" ref="M74:M137" si="23">IF(ABS(K74-K73)&gt;270,M73+(B74-B73)*COS(RADIANS((E74+E73)/2))*COS(RADIANS((G74+G73+360)/2-$J$6)),M73+(B74-B73)*COS(RADIANS((E74+E73)/2))*COS(RADIANS((G74+G73)/2-$J$6)))</f>
        <v>-23.6994184772255</v>
      </c>
      <c r="N74" s="14">
        <f t="shared" ref="N74:N137" si="24">IF(ABS(L74-L73)&gt;270,N73+(B74-B73)*COS(RADIANS((E74+E73)/2))*SIN(RADIANS((G74+G73+360)/2-$J$6)),N73+(B74-B73)*COS(RADIANS((E74+E73)/2))*SIN(RADIANS((G74+G73)/2-$J$6)))</f>
        <v>187.850528185689</v>
      </c>
      <c r="O74" s="14">
        <f t="shared" ref="O74:O137" si="25">IF(ABS(M74-M73)&gt;270,DEGREES(ACOS(SIN(RADIANS(E73))*SIN(RADIANS(E74))+COS(RADIANS(E73))*COS(RADIANS(E74))*COS(RADIANS(G74-G73-360))))/(B74-B73),DEGREES(ACOS(SIN(RADIANS(E73))*SIN(RADIANS(E74))+COS(RADIANS(E73))*COS(RADIANS(E74))*COS(RADIANS(G74-G73))))/(B74-B73))</f>
        <v>0.512575472261378</v>
      </c>
      <c r="P74" s="14" t="str">
        <f t="shared" si="16"/>
        <v>23.7,187.85</v>
      </c>
      <c r="Q74" s="14" t="str">
        <f t="shared" si="17"/>
        <v>190.93,30.68</v>
      </c>
      <c r="R74" s="31" t="str">
        <f t="shared" si="18"/>
        <v>23.7,187.85,30.68</v>
      </c>
    </row>
    <row r="75" ht="15.6" spans="1:18">
      <c r="A75" s="11">
        <v>67</v>
      </c>
      <c r="B75" s="12">
        <v>197</v>
      </c>
      <c r="C75" s="12">
        <f t="shared" si="13"/>
        <v>90.58</v>
      </c>
      <c r="D75" s="12">
        <v>204</v>
      </c>
      <c r="E75" s="13">
        <v>0.58</v>
      </c>
      <c r="F75" s="13">
        <v>0.24</v>
      </c>
      <c r="G75" s="14">
        <f t="shared" si="14"/>
        <v>-3.26</v>
      </c>
      <c r="H75" s="14">
        <f t="shared" si="19"/>
        <v>193.931486877377</v>
      </c>
      <c r="I75" s="14">
        <f t="shared" si="20"/>
        <v>23.5494700031005</v>
      </c>
      <c r="J75" s="14">
        <f t="shared" si="21"/>
        <v>190.84677703415</v>
      </c>
      <c r="K75" s="14">
        <f t="shared" si="22"/>
        <v>30.6737469111523</v>
      </c>
      <c r="L75" s="14">
        <f t="shared" si="15"/>
        <v>32.1737469111523</v>
      </c>
      <c r="M75" s="14">
        <f t="shared" si="23"/>
        <v>-23.5494700031005</v>
      </c>
      <c r="N75" s="14">
        <f t="shared" si="24"/>
        <v>190.84677703415</v>
      </c>
      <c r="O75" s="14">
        <f t="shared" si="25"/>
        <v>0.49855055153979</v>
      </c>
      <c r="P75" s="14" t="str">
        <f t="shared" si="16"/>
        <v>23.55,190.85</v>
      </c>
      <c r="Q75" s="14" t="str">
        <f t="shared" si="17"/>
        <v>193.93,30.67</v>
      </c>
      <c r="R75" s="31" t="str">
        <f t="shared" si="18"/>
        <v>23.55,190.85,30.67</v>
      </c>
    </row>
    <row r="76" ht="15.6" spans="1:18">
      <c r="A76" s="11">
        <v>68</v>
      </c>
      <c r="B76" s="12">
        <v>200</v>
      </c>
      <c r="C76" s="12">
        <f t="shared" si="13"/>
        <v>91.47</v>
      </c>
      <c r="D76" s="12">
        <v>207</v>
      </c>
      <c r="E76" s="13">
        <v>1.47</v>
      </c>
      <c r="F76" s="13">
        <v>1.67</v>
      </c>
      <c r="G76" s="14">
        <f t="shared" si="14"/>
        <v>-1.83</v>
      </c>
      <c r="H76" s="14">
        <f t="shared" si="19"/>
        <v>196.931006832165</v>
      </c>
      <c r="I76" s="14">
        <f t="shared" si="20"/>
        <v>23.4162792456307</v>
      </c>
      <c r="J76" s="14">
        <f t="shared" si="21"/>
        <v>193.843338427029</v>
      </c>
      <c r="K76" s="14">
        <f t="shared" si="22"/>
        <v>30.727412923011</v>
      </c>
      <c r="L76" s="14">
        <f t="shared" si="15"/>
        <v>32.227412923011</v>
      </c>
      <c r="M76" s="14">
        <f t="shared" si="23"/>
        <v>-23.4162792456307</v>
      </c>
      <c r="N76" s="14">
        <f t="shared" si="24"/>
        <v>193.843338427029</v>
      </c>
      <c r="O76" s="14">
        <f t="shared" si="25"/>
        <v>0.56137771444307</v>
      </c>
      <c r="P76" s="14" t="str">
        <f t="shared" si="16"/>
        <v>23.42,193.84</v>
      </c>
      <c r="Q76" s="14" t="str">
        <f t="shared" si="17"/>
        <v>196.93,30.73</v>
      </c>
      <c r="R76" s="31" t="str">
        <f t="shared" si="18"/>
        <v>23.42,193.84,30.73</v>
      </c>
    </row>
    <row r="77" ht="15.6" spans="1:18">
      <c r="A77" s="11">
        <v>69</v>
      </c>
      <c r="B77" s="12">
        <v>203</v>
      </c>
      <c r="C77" s="12">
        <f t="shared" si="13"/>
        <v>92.63</v>
      </c>
      <c r="D77" s="12">
        <v>210</v>
      </c>
      <c r="E77" s="13">
        <v>2.63</v>
      </c>
      <c r="F77" s="13">
        <v>2.14</v>
      </c>
      <c r="G77" s="14">
        <f t="shared" si="14"/>
        <v>-1.36</v>
      </c>
      <c r="H77" s="14">
        <f t="shared" si="19"/>
        <v>199.929086804946</v>
      </c>
      <c r="I77" s="14">
        <f t="shared" si="20"/>
        <v>23.3328294699122</v>
      </c>
      <c r="J77" s="14">
        <f t="shared" si="21"/>
        <v>196.840256787299</v>
      </c>
      <c r="K77" s="14">
        <f t="shared" si="22"/>
        <v>30.8347277719871</v>
      </c>
      <c r="L77" s="14">
        <f t="shared" si="15"/>
        <v>32.3347277719871</v>
      </c>
      <c r="M77" s="14">
        <f t="shared" si="23"/>
        <v>-23.3328294699122</v>
      </c>
      <c r="N77" s="14">
        <f t="shared" si="24"/>
        <v>196.840256787299</v>
      </c>
      <c r="O77" s="14">
        <f t="shared" si="25"/>
        <v>0.417161009159927</v>
      </c>
      <c r="P77" s="14" t="str">
        <f t="shared" si="16"/>
        <v>23.33,196.84</v>
      </c>
      <c r="Q77" s="14" t="str">
        <f t="shared" si="17"/>
        <v>199.93,30.83</v>
      </c>
      <c r="R77" s="31" t="str">
        <f t="shared" si="18"/>
        <v>23.33,196.84,30.83</v>
      </c>
    </row>
    <row r="78" ht="15.6" spans="1:18">
      <c r="A78" s="11">
        <v>70</v>
      </c>
      <c r="B78" s="12">
        <v>206</v>
      </c>
      <c r="C78" s="12">
        <f t="shared" si="13"/>
        <v>90.58</v>
      </c>
      <c r="D78" s="12">
        <v>213</v>
      </c>
      <c r="E78" s="13">
        <v>0.58</v>
      </c>
      <c r="F78" s="13">
        <v>2.58</v>
      </c>
      <c r="G78" s="14">
        <f t="shared" si="14"/>
        <v>-0.92</v>
      </c>
      <c r="H78" s="14">
        <f t="shared" si="19"/>
        <v>202.92790982878</v>
      </c>
      <c r="I78" s="14">
        <f t="shared" si="20"/>
        <v>23.2731665642469</v>
      </c>
      <c r="J78" s="14">
        <f t="shared" si="21"/>
        <v>199.838486242488</v>
      </c>
      <c r="K78" s="14">
        <f t="shared" si="22"/>
        <v>30.9187543851547</v>
      </c>
      <c r="L78" s="14">
        <f t="shared" si="15"/>
        <v>32.4187543851547</v>
      </c>
      <c r="M78" s="14">
        <f t="shared" si="23"/>
        <v>-23.2731665642469</v>
      </c>
      <c r="N78" s="14">
        <f t="shared" si="24"/>
        <v>199.838486242488</v>
      </c>
      <c r="O78" s="14">
        <f t="shared" si="25"/>
        <v>0.698882237308619</v>
      </c>
      <c r="P78" s="14" t="str">
        <f t="shared" si="16"/>
        <v>23.27,199.84</v>
      </c>
      <c r="Q78" s="14" t="str">
        <f t="shared" si="17"/>
        <v>202.93,30.92</v>
      </c>
      <c r="R78" s="31" t="str">
        <f t="shared" si="18"/>
        <v>23.27,199.84,30.92</v>
      </c>
    </row>
    <row r="79" ht="15.6" spans="1:18">
      <c r="A79" s="11">
        <v>71</v>
      </c>
      <c r="B79" s="12">
        <v>209</v>
      </c>
      <c r="C79" s="12">
        <f t="shared" si="13"/>
        <v>91.63</v>
      </c>
      <c r="D79" s="12">
        <v>216</v>
      </c>
      <c r="E79" s="13">
        <v>1.63</v>
      </c>
      <c r="F79" s="13">
        <v>3.69</v>
      </c>
      <c r="G79" s="14">
        <f t="shared" si="14"/>
        <v>0.19</v>
      </c>
      <c r="H79" s="14">
        <f t="shared" si="19"/>
        <v>205.927351927845</v>
      </c>
      <c r="I79" s="14">
        <f t="shared" si="20"/>
        <v>23.2540588922592</v>
      </c>
      <c r="J79" s="14">
        <f t="shared" si="21"/>
        <v>202.837867479096</v>
      </c>
      <c r="K79" s="14">
        <f t="shared" si="22"/>
        <v>30.9766084632755</v>
      </c>
      <c r="L79" s="14">
        <f t="shared" si="15"/>
        <v>32.4766084632755</v>
      </c>
      <c r="M79" s="14">
        <f t="shared" si="23"/>
        <v>-23.2540588922592</v>
      </c>
      <c r="N79" s="14">
        <f t="shared" si="24"/>
        <v>202.837867479096</v>
      </c>
      <c r="O79" s="14">
        <f t="shared" si="25"/>
        <v>0.509259512533644</v>
      </c>
      <c r="P79" s="14" t="str">
        <f t="shared" si="16"/>
        <v>23.25,202.84</v>
      </c>
      <c r="Q79" s="14" t="str">
        <f t="shared" si="17"/>
        <v>205.93,30.98</v>
      </c>
      <c r="R79" s="31" t="str">
        <f t="shared" si="18"/>
        <v>23.25,202.84,30.98</v>
      </c>
    </row>
    <row r="80" ht="15.6" spans="1:18">
      <c r="A80" s="11">
        <v>72</v>
      </c>
      <c r="B80" s="12">
        <v>212</v>
      </c>
      <c r="C80" s="12">
        <f t="shared" si="13"/>
        <v>90.63</v>
      </c>
      <c r="D80" s="12">
        <v>219</v>
      </c>
      <c r="E80" s="13">
        <v>0.63</v>
      </c>
      <c r="F80" s="13">
        <v>4.36</v>
      </c>
      <c r="G80" s="14">
        <f t="shared" si="14"/>
        <v>0.86</v>
      </c>
      <c r="H80" s="14">
        <f t="shared" si="19"/>
        <v>208.926768497782</v>
      </c>
      <c r="I80" s="14">
        <f t="shared" si="20"/>
        <v>23.2815420974347</v>
      </c>
      <c r="J80" s="14">
        <f t="shared" si="21"/>
        <v>205.837158134142</v>
      </c>
      <c r="K80" s="14">
        <f t="shared" si="22"/>
        <v>31.0357712893562</v>
      </c>
      <c r="L80" s="14">
        <f t="shared" si="15"/>
        <v>32.5357712893562</v>
      </c>
      <c r="M80" s="14">
        <f t="shared" si="23"/>
        <v>-23.2815420974347</v>
      </c>
      <c r="N80" s="14">
        <f t="shared" si="24"/>
        <v>205.837158134142</v>
      </c>
      <c r="O80" s="14">
        <f t="shared" si="25"/>
        <v>0.40120845366642</v>
      </c>
      <c r="P80" s="14" t="str">
        <f t="shared" si="16"/>
        <v>23.28,205.84</v>
      </c>
      <c r="Q80" s="14" t="str">
        <f t="shared" si="17"/>
        <v>208.93,31.04</v>
      </c>
      <c r="R80" s="31" t="str">
        <f t="shared" si="18"/>
        <v>23.28,205.84,31.04</v>
      </c>
    </row>
    <row r="81" ht="15.6" spans="1:18">
      <c r="A81" s="11">
        <v>73</v>
      </c>
      <c r="B81" s="12">
        <v>215</v>
      </c>
      <c r="C81" s="12">
        <f t="shared" si="13"/>
        <v>91.25</v>
      </c>
      <c r="D81" s="12">
        <v>222</v>
      </c>
      <c r="E81" s="13">
        <v>1.25</v>
      </c>
      <c r="F81" s="13">
        <v>5.32</v>
      </c>
      <c r="G81" s="14">
        <f t="shared" si="14"/>
        <v>1.82</v>
      </c>
      <c r="H81" s="14">
        <f t="shared" si="19"/>
        <v>211.92636476691</v>
      </c>
      <c r="I81" s="14">
        <f t="shared" si="20"/>
        <v>23.3516884960618</v>
      </c>
      <c r="J81" s="14">
        <f t="shared" si="21"/>
        <v>208.835934094517</v>
      </c>
      <c r="K81" s="14">
        <f t="shared" si="22"/>
        <v>31.0849873663603</v>
      </c>
      <c r="L81" s="14">
        <f t="shared" si="15"/>
        <v>32.5849873663603</v>
      </c>
      <c r="M81" s="14">
        <f t="shared" si="23"/>
        <v>-23.3516884960618</v>
      </c>
      <c r="N81" s="14">
        <f t="shared" si="24"/>
        <v>208.835934094517</v>
      </c>
      <c r="O81" s="14">
        <f t="shared" si="25"/>
        <v>0.380897034912955</v>
      </c>
      <c r="P81" s="14" t="str">
        <f t="shared" si="16"/>
        <v>23.35,208.84</v>
      </c>
      <c r="Q81" s="14" t="str">
        <f t="shared" si="17"/>
        <v>211.93,31.08</v>
      </c>
      <c r="R81" s="31" t="str">
        <f t="shared" si="18"/>
        <v>23.35,208.84,31.08</v>
      </c>
    </row>
    <row r="82" ht="15.6" spans="1:18">
      <c r="A82" s="11">
        <v>74</v>
      </c>
      <c r="B82" s="12">
        <v>218</v>
      </c>
      <c r="C82" s="12">
        <f t="shared" si="13"/>
        <v>90.84</v>
      </c>
      <c r="D82" s="12">
        <v>225</v>
      </c>
      <c r="E82" s="13">
        <v>0.84</v>
      </c>
      <c r="F82" s="13">
        <v>4.25</v>
      </c>
      <c r="G82" s="14">
        <f t="shared" si="14"/>
        <v>0.75</v>
      </c>
      <c r="H82" s="14">
        <f t="shared" si="19"/>
        <v>214.925865805985</v>
      </c>
      <c r="I82" s="14">
        <f t="shared" si="20"/>
        <v>23.4189541089489</v>
      </c>
      <c r="J82" s="14">
        <f t="shared" si="21"/>
        <v>211.83468080285</v>
      </c>
      <c r="K82" s="14">
        <f t="shared" si="22"/>
        <v>31.139700404912</v>
      </c>
      <c r="L82" s="14">
        <f t="shared" si="15"/>
        <v>32.639700404912</v>
      </c>
      <c r="M82" s="14">
        <f t="shared" si="23"/>
        <v>-23.4189541089489</v>
      </c>
      <c r="N82" s="14">
        <f t="shared" si="24"/>
        <v>211.83468080285</v>
      </c>
      <c r="O82" s="14">
        <f t="shared" si="25"/>
        <v>0.381897934529924</v>
      </c>
      <c r="P82" s="14" t="str">
        <f t="shared" si="16"/>
        <v>23.42,211.83</v>
      </c>
      <c r="Q82" s="14" t="str">
        <f t="shared" si="17"/>
        <v>214.93,31.14</v>
      </c>
      <c r="R82" s="31" t="str">
        <f t="shared" si="18"/>
        <v>23.42,211.83,31.14</v>
      </c>
    </row>
  </sheetData>
  <mergeCells count="38">
    <mergeCell ref="A1:R1"/>
    <mergeCell ref="A2:G2"/>
    <mergeCell ref="H2:I2"/>
    <mergeCell ref="J2:K2"/>
    <mergeCell ref="L2:O2"/>
    <mergeCell ref="P2:R2"/>
    <mergeCell ref="A3:G3"/>
    <mergeCell ref="H3:I3"/>
    <mergeCell ref="J3:K3"/>
    <mergeCell ref="L3:O3"/>
    <mergeCell ref="P3:R3"/>
    <mergeCell ref="A4:C4"/>
    <mergeCell ref="E4:G4"/>
    <mergeCell ref="P4:R4"/>
    <mergeCell ref="N6:O6"/>
    <mergeCell ref="A7:A8"/>
    <mergeCell ref="B7:B8"/>
    <mergeCell ref="C7:C8"/>
    <mergeCell ref="D7:D8"/>
    <mergeCell ref="E7:E8"/>
    <mergeCell ref="F7:F8"/>
    <mergeCell ref="G7:G8"/>
    <mergeCell ref="H4:H5"/>
    <mergeCell ref="H7:H8"/>
    <mergeCell ref="I4:I5"/>
    <mergeCell ref="I7:I8"/>
    <mergeCell ref="J4:J5"/>
    <mergeCell ref="J7:J8"/>
    <mergeCell ref="K4:K5"/>
    <mergeCell ref="K7:K8"/>
    <mergeCell ref="L4:L5"/>
    <mergeCell ref="L7:L8"/>
    <mergeCell ref="M4:M5"/>
    <mergeCell ref="M7:M8"/>
    <mergeCell ref="N7:N8"/>
    <mergeCell ref="O7:O8"/>
    <mergeCell ref="N4:O5"/>
    <mergeCell ref="P5:R6"/>
  </mergeCells>
  <pageMargins left="0.7" right="0.7" top="0.75" bottom="0.75" header="0.3" footer="0.3"/>
  <pageSetup paperSize="9" scale="4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2号孔实钻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95487</dc:creator>
  <cp:lastModifiedBy>zq</cp:lastModifiedBy>
  <dcterms:created xsi:type="dcterms:W3CDTF">2025-02-12T12:51:00Z</dcterms:created>
  <dcterms:modified xsi:type="dcterms:W3CDTF">2025-05-13T16:35:59Z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542DCFCD739D4FBA96F3E81B2C634D88_13</vt:lpwstr>
  </property>
  <property fmtid="{D5CDD505-2E9C-101B-9397-08002B2CF9AE}" pid="3" name="KSOProductBuildVer">
    <vt:lpwstr>2052-12.1.0.20784</vt:lpwstr>
  </property>
</Properties>
</file>