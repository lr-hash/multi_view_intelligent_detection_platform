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1号孔 实钻" sheetId="18" r:id="rId1"/>
  </sheets>
  <definedNames>
    <definedName name="_xlnm.Print_Area" localSheetId="0">'1号孔 实钻'!$L$131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<sst xmlns="http://schemas.openxmlformats.org/spreadsheetml/2006/main" count="45" uniqueCount="40">
  <si>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轨 迹 记 录 表</t>
  </si>
  <si>
    <t>施 工 单 位</t>
  </si>
  <si>
    <t>钻场编号</t>
  </si>
  <si>
    <t>钻孔编号</t>
  </si>
  <si>
    <t>日期</t>
  </si>
  <si>
    <t>施 工 人 员</t>
  </si>
  <si>
    <t>华电煤业集团数智技术有限公司</t>
  </si>
  <si>
    <t>1</t>
  </si>
  <si>
    <t>2025/1/21-2025/2/10</t>
  </si>
  <si>
    <t>柳欢、雷烨、韩杰、李凯、张鹏哲</t>
  </si>
  <si>
    <t>设计孔口坐标</t>
  </si>
  <si>
    <t>实钻孔口坐标</t>
  </si>
  <si>
    <t>坐标纵线网格方位(º)</t>
  </si>
  <si>
    <t>方位修正角(º)</t>
  </si>
  <si>
    <t>孔口高程</t>
  </si>
  <si>
    <t>闭合方位角(º)</t>
  </si>
  <si>
    <t>AutoCAD绘图比例</t>
  </si>
  <si>
    <t>设 计 施 工 说 明</t>
  </si>
  <si>
    <t>E(X)</t>
  </si>
  <si>
    <t>N(Y)</t>
  </si>
  <si>
    <t>Z</t>
  </si>
  <si>
    <t>测 点  序 号</t>
  </si>
  <si>
    <t>测　深　　(m)</t>
  </si>
  <si>
    <t>井斜角(º)</t>
  </si>
  <si>
    <t>孔深</t>
  </si>
  <si>
    <t>倾　角 (º)</t>
  </si>
  <si>
    <t>磁方位(º)</t>
  </si>
  <si>
    <t>网格方位(º)</t>
  </si>
  <si>
    <t>水平投影长度(m)</t>
  </si>
  <si>
    <t>E坐标 (X)</t>
  </si>
  <si>
    <t>N坐标 (Y)</t>
  </si>
  <si>
    <t>垂深(Z&amp;z)</t>
  </si>
  <si>
    <t>测点高程</t>
  </si>
  <si>
    <t>视平移(x)</t>
  </si>
  <si>
    <t>右偏移(y)</t>
  </si>
  <si>
    <t>全弯曲强度i(º/m)</t>
  </si>
  <si>
    <t>CAD绘平面图数据</t>
  </si>
  <si>
    <t>CAD绘剖面图数据</t>
  </si>
  <si>
    <t>CAD绘三维图数据</t>
  </si>
  <si>
    <t>pline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</si>
</sst>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0.00_ "/>
    <numFmt numFmtId="179" formatCode="0.0000_ "/>
  </numFmts>
  <fonts count="28">
    <font>
      <sz val="11"/>
      <color theme="1"/>
      <name val="宋体"/>
      <charset val="134"/>
      <scheme val="minor"/>
    </font>
    <font>
      <b/>
      <sz val="20"/>
      <name val="宋体"/>
      <charset val="134"/>
    </font>
    <font>
      <sz val="18"/>
      <name val="宋体"/>
      <charset val="134"/>
    </font>
    <font>
      <b/>
      <sz val="16"/>
      <name val="黑体"/>
      <charset val="134"/>
    </font>
    <font>
      <sz val="12"/>
      <name val="宋体"/>
      <charset val="134"/>
    </font>
    <font>
      <sz val="10"/>
      <name val="宋体"/>
      <charset val="134"/>
      <scheme val="major"/>
    </font>
    <font>
      <b/>
      <sz val="12"/>
      <name val="黑体"/>
      <charset val="134"/>
    </font>
    <font>
      <sz val="11"/>
      <color rgb="FFFF0000"/>
      <name val="宋体"/>
      <charset val="134"/>
      <scheme val="minor"/>
    </font>
    <font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8" fontId="5" fillId="0" borderId="1" xfId="49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 wrapText="1"/>
    </xf>
    <xf numFmtId="14" fontId="3" fillId="0" borderId="5" xfId="0" applyNumberFormat="1" applyFont="1" applyFill="1" applyBorder="1" applyAlignment="1">
      <alignment horizontal="center" vertical="center" wrapText="1"/>
    </xf>
    <xf numFmtId="14" fontId="3" fillId="0" borderId="6" xfId="0" applyNumberFormat="1" applyFont="1" applyFill="1" applyBorder="1" applyAlignment="1">
      <alignment horizontal="center" vertical="center" wrapText="1"/>
    </xf>
    <xf numFmtId="14" fontId="6" fillId="0" borderId="4" xfId="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178" fontId="4" fillId="0" borderId="1" xfId="0" applyNumberFormat="1" applyFont="1" applyFill="1" applyBorder="1">
      <alignment vertical="center"/>
    </xf>
    <xf numFmtId="179" fontId="8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/>
    </xf>
    <xf numFmtId="14" fontId="6" fillId="0" borderId="5" xfId="0" applyNumberFormat="1" applyFont="1" applyFill="1" applyBorder="1" applyAlignment="1">
      <alignment horizontal="center" vertical="center"/>
    </xf>
    <xf numFmtId="14" fontId="6" fillId="0" borderId="6" xfId="0" applyNumberFormat="1" applyFon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6"/>
  <sheetViews>
    <sheetView tabSelected="1" zoomScale="79" zoomScaleNormal="79" topLeftCell="A111" workbookViewId="0">
      <selection activeCell="A1" sqref="A1:R126"/>
    </sheetView>
  </sheetViews>
  <sheetFormatPr defaultColWidth="9" defaultRowHeight="14.4"/>
  <cols>
    <col min="2" max="4" width="8.33333333333333" customWidth="1"/>
    <col min="5" max="5" width="7.66666666666667" customWidth="1"/>
    <col min="6" max="6" width="10.7777777777778" customWidth="1"/>
    <col min="7" max="8" width="9.44444444444444" customWidth="1"/>
    <col min="9" max="9" width="9.77777777777778" customWidth="1"/>
    <col min="10" max="10" width="10.2222222222222" customWidth="1"/>
    <col min="12" max="12" width="8.77777777777778" customWidth="1"/>
    <col min="13" max="14" width="9.44444444444444"/>
    <col min="15" max="15" width="17.4351851851852" customWidth="1"/>
    <col min="16" max="17" width="17.5555555555556" customWidth="1"/>
    <col min="18" max="18" width="21.5555555555556" customWidth="1"/>
  </cols>
  <sheetData>
    <row r="1" ht="25.8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2.2" spans="1:18">
      <c r="A2" s="2" t="s">
        <v>1</v>
      </c>
      <c r="B2" s="2"/>
      <c r="C2" s="2"/>
      <c r="D2" s="2"/>
      <c r="E2" s="2"/>
      <c r="F2" s="2"/>
      <c r="G2" s="2"/>
      <c r="H2" s="2" t="s">
        <v>2</v>
      </c>
      <c r="I2" s="2"/>
      <c r="J2" s="2" t="s">
        <v>3</v>
      </c>
      <c r="K2" s="2"/>
      <c r="L2" s="15" t="s">
        <v>4</v>
      </c>
      <c r="M2" s="16"/>
      <c r="N2" s="16"/>
      <c r="O2" s="17"/>
      <c r="P2" s="15" t="s">
        <v>5</v>
      </c>
      <c r="Q2" s="16"/>
      <c r="R2" s="28"/>
    </row>
    <row r="3" ht="20.4" spans="1:18">
      <c r="A3" s="3" t="s">
        <v>6</v>
      </c>
      <c r="B3" s="4"/>
      <c r="C3" s="4"/>
      <c r="D3" s="4"/>
      <c r="E3" s="4"/>
      <c r="F3" s="4"/>
      <c r="G3" s="4"/>
      <c r="H3" s="4">
        <v>1</v>
      </c>
      <c r="I3" s="4"/>
      <c r="J3" s="18" t="s">
        <v>7</v>
      </c>
      <c r="K3" s="18"/>
      <c r="L3" s="19" t="s">
        <v>8</v>
      </c>
      <c r="M3" s="20"/>
      <c r="N3" s="20"/>
      <c r="O3" s="21"/>
      <c r="P3" s="22" t="s">
        <v>9</v>
      </c>
      <c r="Q3" s="29"/>
      <c r="R3" s="30"/>
    </row>
    <row r="4" ht="22.2" spans="1:18">
      <c r="A4" s="5" t="s">
        <v>10</v>
      </c>
      <c r="B4" s="5"/>
      <c r="C4" s="5"/>
      <c r="D4" s="5"/>
      <c r="E4" s="5" t="s">
        <v>11</v>
      </c>
      <c r="F4" s="5"/>
      <c r="G4" s="5"/>
      <c r="H4" s="5"/>
      <c r="I4" s="5"/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/>
      <c r="P4" s="2" t="s">
        <v>17</v>
      </c>
      <c r="Q4" s="2"/>
      <c r="R4" s="2"/>
    </row>
    <row r="5" spans="1:18">
      <c r="A5" s="5" t="s">
        <v>18</v>
      </c>
      <c r="B5" s="5" t="s">
        <v>19</v>
      </c>
      <c r="C5" s="5" t="s">
        <v>20</v>
      </c>
      <c r="D5" s="5"/>
      <c r="E5" s="5" t="s">
        <v>18</v>
      </c>
      <c r="F5" s="5" t="s">
        <v>19</v>
      </c>
      <c r="G5" s="5" t="s">
        <v>20</v>
      </c>
      <c r="H5" s="5"/>
      <c r="I5" s="5"/>
      <c r="J5" s="7"/>
      <c r="K5" s="7"/>
      <c r="L5" s="7"/>
      <c r="M5" s="7"/>
      <c r="N5" s="7"/>
      <c r="O5" s="7"/>
      <c r="P5" s="23"/>
      <c r="Q5" s="23"/>
      <c r="R5" s="23"/>
    </row>
    <row r="6" ht="20.4" spans="1:18">
      <c r="A6" s="6">
        <v>0</v>
      </c>
      <c r="B6" s="6">
        <v>0</v>
      </c>
      <c r="C6" s="6">
        <v>0</v>
      </c>
      <c r="D6" s="6"/>
      <c r="E6" s="6">
        <v>0</v>
      </c>
      <c r="F6" s="6">
        <v>0</v>
      </c>
      <c r="G6" s="6">
        <v>0</v>
      </c>
      <c r="H6" s="6"/>
      <c r="I6" s="6"/>
      <c r="J6" s="5">
        <v>270</v>
      </c>
      <c r="K6" s="24">
        <v>-4.5</v>
      </c>
      <c r="L6" s="25">
        <v>1.5</v>
      </c>
      <c r="M6" s="6"/>
      <c r="N6" s="26">
        <v>0.001</v>
      </c>
      <c r="O6" s="26"/>
      <c r="P6" s="23"/>
      <c r="Q6" s="23"/>
      <c r="R6" s="23"/>
    </row>
    <row r="7" spans="1:18">
      <c r="A7" s="7" t="s">
        <v>21</v>
      </c>
      <c r="B7" s="8" t="s">
        <v>22</v>
      </c>
      <c r="C7" s="8" t="s">
        <v>23</v>
      </c>
      <c r="D7" s="9" t="s">
        <v>24</v>
      </c>
      <c r="E7" s="8" t="s">
        <v>25</v>
      </c>
      <c r="F7" s="8" t="s">
        <v>26</v>
      </c>
      <c r="G7" s="8" t="s">
        <v>27</v>
      </c>
      <c r="H7" s="8" t="s">
        <v>28</v>
      </c>
      <c r="I7" s="7" t="s">
        <v>29</v>
      </c>
      <c r="J7" s="7" t="s">
        <v>30</v>
      </c>
      <c r="K7" s="7" t="s">
        <v>31</v>
      </c>
      <c r="L7" s="7" t="s">
        <v>32</v>
      </c>
      <c r="M7" s="7" t="s">
        <v>33</v>
      </c>
      <c r="N7" s="7" t="s">
        <v>34</v>
      </c>
      <c r="O7" s="7" t="s">
        <v>35</v>
      </c>
      <c r="P7" s="5" t="s">
        <v>36</v>
      </c>
      <c r="Q7" s="5" t="s">
        <v>37</v>
      </c>
      <c r="R7" s="5" t="s">
        <v>38</v>
      </c>
    </row>
    <row r="8" spans="1:18">
      <c r="A8" s="7"/>
      <c r="B8" s="8"/>
      <c r="C8" s="8"/>
      <c r="D8" s="10"/>
      <c r="E8" s="8"/>
      <c r="F8" s="8"/>
      <c r="G8" s="8"/>
      <c r="H8" s="8"/>
      <c r="I8" s="7"/>
      <c r="J8" s="7"/>
      <c r="K8" s="7"/>
      <c r="L8" s="7"/>
      <c r="M8" s="7"/>
      <c r="N8" s="7"/>
      <c r="O8" s="7"/>
      <c r="P8" s="27" t="s">
        <v>39</v>
      </c>
      <c r="Q8" s="27" t="s">
        <v>39</v>
      </c>
      <c r="R8" s="27" t="s">
        <v>39</v>
      </c>
    </row>
    <row r="9" ht="15.6" spans="1:18">
      <c r="A9" s="11">
        <v>1</v>
      </c>
      <c r="B9" s="12">
        <v>0</v>
      </c>
      <c r="C9" s="12">
        <f t="shared" ref="C9:C72" si="0">90+E9</f>
        <v>104</v>
      </c>
      <c r="D9" s="12">
        <v>0</v>
      </c>
      <c r="E9" s="13">
        <v>14</v>
      </c>
      <c r="F9" s="13">
        <v>21.5</v>
      </c>
      <c r="G9" s="14">
        <f t="shared" ref="G9:G72" si="1">F9-3.5</f>
        <v>18</v>
      </c>
      <c r="H9" s="14">
        <v>0</v>
      </c>
      <c r="I9" s="14">
        <f>A6+G6</f>
        <v>0</v>
      </c>
      <c r="J9" s="14">
        <f>B6+H6</f>
        <v>0</v>
      </c>
      <c r="K9" s="14">
        <f>E6+I6</f>
        <v>0</v>
      </c>
      <c r="L9" s="14">
        <f t="shared" ref="L9:L72" si="2">K9+$L$6</f>
        <v>1.5</v>
      </c>
      <c r="M9" s="14">
        <v>0</v>
      </c>
      <c r="N9" s="14">
        <v>0</v>
      </c>
      <c r="O9" s="14"/>
      <c r="P9" s="14" t="str">
        <f t="shared" ref="P9:P72" si="3">ROUND(I9,2)*$N$6*1000&amp;","&amp;ROUND(J9,2)*$N$6*1000</f>
        <v>0,0</v>
      </c>
      <c r="Q9" s="14" t="str">
        <f t="shared" ref="Q9:Q72" si="4">ROUND(H9,2)*$N$6*1000&amp;","&amp;ROUND(K9,2)*$N$6*1000</f>
        <v>0,0</v>
      </c>
      <c r="R9" s="31" t="str">
        <f t="shared" ref="R9:R72" si="5">ROUND(I9,2)*$N$6*1000&amp;","&amp;ROUND(J9,2)*$N$6*1000&amp;","&amp;ROUND(K9,2)*$N$6*1000</f>
        <v>0,0,0</v>
      </c>
    </row>
    <row r="10" ht="15.6" spans="1:18">
      <c r="A10" s="11">
        <v>2</v>
      </c>
      <c r="B10" s="12">
        <v>2</v>
      </c>
      <c r="C10" s="12">
        <f t="shared" si="0"/>
        <v>104</v>
      </c>
      <c r="D10" s="12">
        <v>9</v>
      </c>
      <c r="E10" s="13">
        <v>14</v>
      </c>
      <c r="F10" s="13">
        <v>21.5</v>
      </c>
      <c r="G10" s="14">
        <f t="shared" si="1"/>
        <v>18</v>
      </c>
      <c r="H10" s="14">
        <f t="shared" ref="H10:H73" si="6">H9+(B10-B9)*COS(RADIANS((E10+E9)/2))</f>
        <v>1.94059145255199</v>
      </c>
      <c r="I10" s="14">
        <f t="shared" ref="I10:I73" si="7">IF(ABS(G10-G9)&gt;270,I9+(B10-B9)*COS(RADIANS((E10+E9)/2))*SIN(RADIANS((G10+G9+360)/2)),I9+(B10-B9)*COS(RADIANS((E10+E9)/2))*SIN(RADIANS((G10+G9)/2)))</f>
        <v>0.59967573797733</v>
      </c>
      <c r="J10" s="14">
        <f t="shared" ref="J10:J73" si="8">IF(ABS(G10-G9)&gt;270,J9+(B10-B9)*COS(RADIANS((E10+E9)/2))*COS(RADIANS((G10+G9+360)/2)),J9+(B10-B9)*COS(RADIANS((E10+E9)/2))*COS(RADIANS((G10+G9)/2)))</f>
        <v>1.84561214641625</v>
      </c>
      <c r="K10" s="14">
        <f t="shared" ref="K10:K73" si="9">K9+(B10-B9)*SIN(RADIANS((E10+E9)/2))</f>
        <v>0.483843791199335</v>
      </c>
      <c r="L10" s="14">
        <f t="shared" si="2"/>
        <v>1.98384379119934</v>
      </c>
      <c r="M10" s="14">
        <f t="shared" ref="M10:M73" si="10">IF(ABS(K10-K9)&gt;270,M9+(B10-B9)*COS(RADIANS((E10+E9)/2))*COS(RADIANS((G10+G9+360)/2-$J$6)),M9+(B10-B9)*COS(RADIANS((E10+E9)/2))*COS(RADIANS((G10+G9)/2-$J$6)))</f>
        <v>-0.599675737977331</v>
      </c>
      <c r="N10" s="14">
        <f t="shared" ref="N10:N73" si="11">IF(ABS(L10-L9)&gt;270,N9+(B10-B9)*COS(RADIANS((E10+E9)/2))*SIN(RADIANS((G10+G9+360)/2-$J$6)),N9+(B10-B9)*COS(RADIANS((E10+E9)/2))*SIN(RADIANS((G10+G9)/2-$J$6)))</f>
        <v>1.84561214641625</v>
      </c>
      <c r="O10" s="14">
        <f t="shared" ref="O10:O73" si="12">IF(ABS(M10-M9)&gt;270,DEGREES(ACOS(SIN(RADIANS(E9))*SIN(RADIANS(E10))+COS(RADIANS(E9))*COS(RADIANS(E10))*COS(RADIANS(G10-G9-360))))/(B10-B9),DEGREES(ACOS(SIN(RADIANS(E9))*SIN(RADIANS(E10))+COS(RADIANS(E9))*COS(RADIANS(E10))*COS(RADIANS(G10-G9))))/(B10-B9))</f>
        <v>0</v>
      </c>
      <c r="P10" s="14" t="str">
        <f t="shared" si="3"/>
        <v>0.6,1.85</v>
      </c>
      <c r="Q10" s="14" t="str">
        <f t="shared" si="4"/>
        <v>1.94,0.48</v>
      </c>
      <c r="R10" s="31" t="str">
        <f t="shared" si="5"/>
        <v>0.6,1.85,0.48</v>
      </c>
    </row>
    <row r="11" ht="15.6" spans="1:18">
      <c r="A11" s="11">
        <v>3</v>
      </c>
      <c r="B11" s="12">
        <v>5</v>
      </c>
      <c r="C11" s="12">
        <f t="shared" si="0"/>
        <v>104.05</v>
      </c>
      <c r="D11" s="12">
        <v>12</v>
      </c>
      <c r="E11" s="13">
        <v>14.05</v>
      </c>
      <c r="F11" s="13">
        <v>21.5</v>
      </c>
      <c r="G11" s="14">
        <f t="shared" si="1"/>
        <v>18</v>
      </c>
      <c r="H11" s="14">
        <f t="shared" si="6"/>
        <v>4.8511616792733</v>
      </c>
      <c r="I11" s="14">
        <f t="shared" si="7"/>
        <v>1.49909140135596</v>
      </c>
      <c r="J11" s="14">
        <f t="shared" si="8"/>
        <v>4.61372892667421</v>
      </c>
      <c r="K11" s="14">
        <f t="shared" si="9"/>
        <v>1.21087952300588</v>
      </c>
      <c r="L11" s="14">
        <f t="shared" si="2"/>
        <v>2.71087952300588</v>
      </c>
      <c r="M11" s="14">
        <f t="shared" si="10"/>
        <v>-1.49909140135596</v>
      </c>
      <c r="N11" s="14">
        <f t="shared" si="11"/>
        <v>4.61372892667421</v>
      </c>
      <c r="O11" s="14">
        <f t="shared" si="12"/>
        <v>0.0166666666667875</v>
      </c>
      <c r="P11" s="14" t="str">
        <f t="shared" si="3"/>
        <v>1.5,4.61</v>
      </c>
      <c r="Q11" s="14" t="str">
        <f t="shared" si="4"/>
        <v>4.85,1.21</v>
      </c>
      <c r="R11" s="31" t="str">
        <f t="shared" si="5"/>
        <v>1.5,4.61,1.21</v>
      </c>
    </row>
    <row r="12" ht="15.6" spans="1:18">
      <c r="A12" s="11">
        <v>4</v>
      </c>
      <c r="B12" s="12">
        <v>8</v>
      </c>
      <c r="C12" s="12">
        <f t="shared" si="0"/>
        <v>104.19</v>
      </c>
      <c r="D12" s="12">
        <v>15</v>
      </c>
      <c r="E12" s="13">
        <v>14.19</v>
      </c>
      <c r="F12" s="13">
        <v>22.5</v>
      </c>
      <c r="G12" s="14">
        <f t="shared" si="1"/>
        <v>19</v>
      </c>
      <c r="H12" s="14">
        <f t="shared" si="6"/>
        <v>7.760522434825</v>
      </c>
      <c r="I12" s="14">
        <f t="shared" si="7"/>
        <v>2.42224511625475</v>
      </c>
      <c r="J12" s="14">
        <f t="shared" si="8"/>
        <v>7.37274455269247</v>
      </c>
      <c r="K12" s="14">
        <f t="shared" si="9"/>
        <v>1.94274016141708</v>
      </c>
      <c r="L12" s="14">
        <f t="shared" si="2"/>
        <v>3.44274016141708</v>
      </c>
      <c r="M12" s="14">
        <f t="shared" si="10"/>
        <v>-2.42224511625475</v>
      </c>
      <c r="N12" s="14">
        <f t="shared" si="11"/>
        <v>7.37274455269247</v>
      </c>
      <c r="O12" s="14">
        <f t="shared" si="12"/>
        <v>0.326613038063292</v>
      </c>
      <c r="P12" s="14" t="str">
        <f t="shared" si="3"/>
        <v>2.42,7.37</v>
      </c>
      <c r="Q12" s="14" t="str">
        <f t="shared" si="4"/>
        <v>7.76,1.94</v>
      </c>
      <c r="R12" s="31" t="str">
        <f t="shared" si="5"/>
        <v>2.42,7.37,1.94</v>
      </c>
    </row>
    <row r="13" ht="15.6" spans="1:18">
      <c r="A13" s="11">
        <v>5</v>
      </c>
      <c r="B13" s="12">
        <v>11</v>
      </c>
      <c r="C13" s="12">
        <f t="shared" si="0"/>
        <v>104.07</v>
      </c>
      <c r="D13" s="12">
        <v>18</v>
      </c>
      <c r="E13" s="13">
        <v>14.07</v>
      </c>
      <c r="F13" s="13">
        <v>22.44</v>
      </c>
      <c r="G13" s="14">
        <f t="shared" si="1"/>
        <v>18.94</v>
      </c>
      <c r="H13" s="14">
        <f t="shared" si="6"/>
        <v>10.6697554122872</v>
      </c>
      <c r="I13" s="14">
        <f t="shared" si="7"/>
        <v>3.36795831698442</v>
      </c>
      <c r="J13" s="14">
        <f t="shared" si="8"/>
        <v>10.123973925013</v>
      </c>
      <c r="K13" s="14">
        <f t="shared" si="9"/>
        <v>2.67510856792195</v>
      </c>
      <c r="L13" s="14">
        <f t="shared" si="2"/>
        <v>4.17510856792195</v>
      </c>
      <c r="M13" s="14">
        <f t="shared" si="10"/>
        <v>-3.36795831698442</v>
      </c>
      <c r="N13" s="14">
        <f t="shared" si="11"/>
        <v>10.123973925013</v>
      </c>
      <c r="O13" s="14">
        <f t="shared" si="12"/>
        <v>0.0444540375811244</v>
      </c>
      <c r="P13" s="14" t="str">
        <f t="shared" si="3"/>
        <v>3.37,10.12</v>
      </c>
      <c r="Q13" s="14" t="str">
        <f t="shared" si="4"/>
        <v>10.67,2.68</v>
      </c>
      <c r="R13" s="31" t="str">
        <f t="shared" si="5"/>
        <v>3.37,10.12,2.68</v>
      </c>
    </row>
    <row r="14" ht="15.6" spans="1:18">
      <c r="A14" s="11">
        <v>6</v>
      </c>
      <c r="B14" s="12">
        <v>14</v>
      </c>
      <c r="C14" s="12">
        <f t="shared" si="0"/>
        <v>104.33</v>
      </c>
      <c r="D14" s="12">
        <v>21</v>
      </c>
      <c r="E14" s="13">
        <v>14.33</v>
      </c>
      <c r="F14" s="13">
        <v>23.11</v>
      </c>
      <c r="G14" s="14">
        <f t="shared" si="1"/>
        <v>19.61</v>
      </c>
      <c r="H14" s="14">
        <f t="shared" si="6"/>
        <v>13.5780914619726</v>
      </c>
      <c r="I14" s="14">
        <f t="shared" si="7"/>
        <v>4.3280074644391</v>
      </c>
      <c r="J14" s="14">
        <f t="shared" si="8"/>
        <v>12.8692834180158</v>
      </c>
      <c r="K14" s="14">
        <f t="shared" si="9"/>
        <v>3.41103072555836</v>
      </c>
      <c r="L14" s="14">
        <f t="shared" si="2"/>
        <v>4.91103072555836</v>
      </c>
      <c r="M14" s="14">
        <f t="shared" si="10"/>
        <v>-4.3280074644391</v>
      </c>
      <c r="N14" s="14">
        <f t="shared" si="11"/>
        <v>12.8692834180158</v>
      </c>
      <c r="O14" s="14">
        <f t="shared" si="12"/>
        <v>0.233210913088552</v>
      </c>
      <c r="P14" s="14" t="str">
        <f t="shared" si="3"/>
        <v>4.33,12.87</v>
      </c>
      <c r="Q14" s="14" t="str">
        <f t="shared" si="4"/>
        <v>13.58,3.41</v>
      </c>
      <c r="R14" s="31" t="str">
        <f t="shared" si="5"/>
        <v>4.33,12.87,3.41</v>
      </c>
    </row>
    <row r="15" ht="15.6" spans="1:18">
      <c r="A15" s="11">
        <v>7</v>
      </c>
      <c r="B15" s="12">
        <v>17</v>
      </c>
      <c r="C15" s="12">
        <f t="shared" si="0"/>
        <v>104.15</v>
      </c>
      <c r="D15" s="12">
        <v>24</v>
      </c>
      <c r="E15" s="13">
        <v>14.15</v>
      </c>
      <c r="F15" s="13">
        <v>22.03</v>
      </c>
      <c r="G15" s="14">
        <f t="shared" si="1"/>
        <v>18.53</v>
      </c>
      <c r="H15" s="14">
        <f t="shared" si="6"/>
        <v>16.4859130323684</v>
      </c>
      <c r="I15" s="14">
        <f t="shared" si="7"/>
        <v>5.27805988416621</v>
      </c>
      <c r="J15" s="14">
        <f t="shared" si="8"/>
        <v>15.6175240706933</v>
      </c>
      <c r="K15" s="14">
        <f t="shared" si="9"/>
        <v>4.14898310528293</v>
      </c>
      <c r="L15" s="14">
        <f t="shared" si="2"/>
        <v>5.64898310528293</v>
      </c>
      <c r="M15" s="14">
        <f t="shared" si="10"/>
        <v>-5.27805988416621</v>
      </c>
      <c r="N15" s="14">
        <f t="shared" si="11"/>
        <v>15.6175240706933</v>
      </c>
      <c r="O15" s="14">
        <f t="shared" si="12"/>
        <v>0.354059035853841</v>
      </c>
      <c r="P15" s="14" t="str">
        <f t="shared" si="3"/>
        <v>5.28,15.62</v>
      </c>
      <c r="Q15" s="14" t="str">
        <f t="shared" si="4"/>
        <v>16.49,4.15</v>
      </c>
      <c r="R15" s="31" t="str">
        <f t="shared" si="5"/>
        <v>5.28,15.62,4.15</v>
      </c>
    </row>
    <row r="16" ht="15.6" spans="1:18">
      <c r="A16" s="11">
        <v>8</v>
      </c>
      <c r="B16" s="12">
        <v>20</v>
      </c>
      <c r="C16" s="12">
        <f t="shared" si="0"/>
        <v>104.12</v>
      </c>
      <c r="D16" s="12">
        <v>27</v>
      </c>
      <c r="E16" s="13">
        <v>14.12</v>
      </c>
      <c r="F16" s="13">
        <v>22.5</v>
      </c>
      <c r="G16" s="14">
        <f t="shared" si="1"/>
        <v>19</v>
      </c>
      <c r="H16" s="14">
        <f t="shared" si="6"/>
        <v>19.3950820875529</v>
      </c>
      <c r="I16" s="14">
        <f t="shared" si="7"/>
        <v>6.21390279735994</v>
      </c>
      <c r="J16" s="14">
        <f t="shared" si="8"/>
        <v>18.3720589921399</v>
      </c>
      <c r="K16" s="14">
        <f t="shared" si="9"/>
        <v>4.88160538746965</v>
      </c>
      <c r="L16" s="14">
        <f t="shared" si="2"/>
        <v>6.38160538746965</v>
      </c>
      <c r="M16" s="14">
        <f t="shared" si="10"/>
        <v>-6.21390279735994</v>
      </c>
      <c r="N16" s="14">
        <f t="shared" si="11"/>
        <v>18.3720589921399</v>
      </c>
      <c r="O16" s="14">
        <f t="shared" si="12"/>
        <v>0.152252003261055</v>
      </c>
      <c r="P16" s="14" t="str">
        <f t="shared" si="3"/>
        <v>6.21,18.37</v>
      </c>
      <c r="Q16" s="14" t="str">
        <f t="shared" si="4"/>
        <v>19.4,4.88</v>
      </c>
      <c r="R16" s="31" t="str">
        <f t="shared" si="5"/>
        <v>6.21,18.37,4.88</v>
      </c>
    </row>
    <row r="17" ht="15.6" spans="1:18">
      <c r="A17" s="11">
        <v>9</v>
      </c>
      <c r="B17" s="12">
        <v>23</v>
      </c>
      <c r="C17" s="12">
        <f t="shared" si="0"/>
        <v>104.31</v>
      </c>
      <c r="D17" s="12">
        <v>30</v>
      </c>
      <c r="E17" s="13">
        <v>14.31</v>
      </c>
      <c r="F17" s="13">
        <v>21.48</v>
      </c>
      <c r="G17" s="14">
        <f t="shared" si="1"/>
        <v>17.98</v>
      </c>
      <c r="H17" s="14">
        <f t="shared" si="6"/>
        <v>22.3032253736031</v>
      </c>
      <c r="I17" s="14">
        <f t="shared" si="7"/>
        <v>7.13618885190476</v>
      </c>
      <c r="J17" s="14">
        <f t="shared" si="8"/>
        <v>21.1300810743196</v>
      </c>
      <c r="K17" s="14">
        <f t="shared" si="9"/>
        <v>5.61828892047503</v>
      </c>
      <c r="L17" s="14">
        <f t="shared" si="2"/>
        <v>7.11828892047503</v>
      </c>
      <c r="M17" s="14">
        <f t="shared" si="10"/>
        <v>-7.13618885190477</v>
      </c>
      <c r="N17" s="14">
        <f t="shared" si="11"/>
        <v>21.1300810743196</v>
      </c>
      <c r="O17" s="14">
        <f t="shared" si="12"/>
        <v>0.335618988801992</v>
      </c>
      <c r="P17" s="14" t="str">
        <f t="shared" si="3"/>
        <v>7.14,21.13</v>
      </c>
      <c r="Q17" s="14" t="str">
        <f t="shared" si="4"/>
        <v>22.3,5.62</v>
      </c>
      <c r="R17" s="31" t="str">
        <f t="shared" si="5"/>
        <v>7.14,21.13,5.62</v>
      </c>
    </row>
    <row r="18" ht="15.6" spans="1:18">
      <c r="A18" s="11">
        <v>10</v>
      </c>
      <c r="B18" s="12">
        <v>26</v>
      </c>
      <c r="C18" s="12">
        <f t="shared" si="0"/>
        <v>104.39</v>
      </c>
      <c r="D18" s="12">
        <v>33</v>
      </c>
      <c r="E18" s="13">
        <v>14.39</v>
      </c>
      <c r="F18" s="13">
        <v>20.34</v>
      </c>
      <c r="G18" s="14">
        <f t="shared" si="1"/>
        <v>16.84</v>
      </c>
      <c r="H18" s="14">
        <f t="shared" si="6"/>
        <v>25.2096248190812</v>
      </c>
      <c r="I18" s="14">
        <f t="shared" si="7"/>
        <v>8.00580488168945</v>
      </c>
      <c r="J18" s="14">
        <f t="shared" si="8"/>
        <v>23.9033329015824</v>
      </c>
      <c r="K18" s="14">
        <f t="shared" si="9"/>
        <v>6.36182255342302</v>
      </c>
      <c r="L18" s="14">
        <f t="shared" si="2"/>
        <v>7.86182255342302</v>
      </c>
      <c r="M18" s="14">
        <f t="shared" si="10"/>
        <v>-8.00580488168945</v>
      </c>
      <c r="N18" s="14">
        <f t="shared" si="11"/>
        <v>23.9033329015824</v>
      </c>
      <c r="O18" s="14">
        <f t="shared" si="12"/>
        <v>0.369108064298523</v>
      </c>
      <c r="P18" s="14" t="str">
        <f t="shared" si="3"/>
        <v>8.01,23.9</v>
      </c>
      <c r="Q18" s="14" t="str">
        <f t="shared" si="4"/>
        <v>25.21,6.36</v>
      </c>
      <c r="R18" s="31" t="str">
        <f t="shared" si="5"/>
        <v>8.01,23.9,6.36</v>
      </c>
    </row>
    <row r="19" ht="15.6" spans="1:18">
      <c r="A19" s="11">
        <v>11</v>
      </c>
      <c r="B19" s="12">
        <v>29</v>
      </c>
      <c r="C19" s="12">
        <f t="shared" si="0"/>
        <v>104.6</v>
      </c>
      <c r="D19" s="12">
        <v>36</v>
      </c>
      <c r="E19" s="13">
        <v>14.6</v>
      </c>
      <c r="F19" s="13">
        <v>20.65</v>
      </c>
      <c r="G19" s="14">
        <f t="shared" si="1"/>
        <v>17.15</v>
      </c>
      <c r="H19" s="14">
        <f t="shared" si="6"/>
        <v>28.1141332784879</v>
      </c>
      <c r="I19" s="14">
        <f t="shared" si="7"/>
        <v>8.85475857720231</v>
      </c>
      <c r="J19" s="14">
        <f t="shared" si="8"/>
        <v>26.6810022508104</v>
      </c>
      <c r="K19" s="14">
        <f t="shared" si="9"/>
        <v>7.11270910226699</v>
      </c>
      <c r="L19" s="14">
        <f t="shared" si="2"/>
        <v>8.61270910226699</v>
      </c>
      <c r="M19" s="14">
        <f t="shared" si="10"/>
        <v>-8.85475857720231</v>
      </c>
      <c r="N19" s="14">
        <f t="shared" si="11"/>
        <v>26.6810022508104</v>
      </c>
      <c r="O19" s="14">
        <f t="shared" si="12"/>
        <v>0.122101691326328</v>
      </c>
      <c r="P19" s="14" t="str">
        <f t="shared" si="3"/>
        <v>8.85,26.68</v>
      </c>
      <c r="Q19" s="14" t="str">
        <f t="shared" si="4"/>
        <v>28.11,7.11</v>
      </c>
      <c r="R19" s="31" t="str">
        <f t="shared" si="5"/>
        <v>8.85,26.68,7.11</v>
      </c>
    </row>
    <row r="20" ht="15.6" spans="1:18">
      <c r="A20" s="11">
        <v>12</v>
      </c>
      <c r="B20" s="12">
        <v>32</v>
      </c>
      <c r="C20" s="12">
        <f t="shared" si="0"/>
        <v>104.35</v>
      </c>
      <c r="D20" s="12">
        <v>39</v>
      </c>
      <c r="E20" s="13">
        <v>14.35</v>
      </c>
      <c r="F20" s="13">
        <v>21.02</v>
      </c>
      <c r="G20" s="14">
        <f t="shared" si="1"/>
        <v>17.52</v>
      </c>
      <c r="H20" s="14">
        <f t="shared" si="6"/>
        <v>31.0189036697882</v>
      </c>
      <c r="I20" s="14">
        <f t="shared" si="7"/>
        <v>9.72025829503498</v>
      </c>
      <c r="J20" s="14">
        <f t="shared" si="8"/>
        <v>29.453834965672</v>
      </c>
      <c r="K20" s="14">
        <f t="shared" si="9"/>
        <v>7.86258174066955</v>
      </c>
      <c r="L20" s="14">
        <f t="shared" si="2"/>
        <v>9.36258174066955</v>
      </c>
      <c r="M20" s="14">
        <f t="shared" si="10"/>
        <v>-9.72025829503499</v>
      </c>
      <c r="N20" s="14">
        <f t="shared" si="11"/>
        <v>29.453834965672</v>
      </c>
      <c r="O20" s="14">
        <f t="shared" si="12"/>
        <v>0.145619894670081</v>
      </c>
      <c r="P20" s="14" t="str">
        <f t="shared" si="3"/>
        <v>9.72,29.45</v>
      </c>
      <c r="Q20" s="14" t="str">
        <f t="shared" si="4"/>
        <v>31.02,7.86</v>
      </c>
      <c r="R20" s="31" t="str">
        <f t="shared" si="5"/>
        <v>9.72,29.45,7.86</v>
      </c>
    </row>
    <row r="21" ht="15.6" spans="1:18">
      <c r="A21" s="11">
        <v>13</v>
      </c>
      <c r="B21" s="12">
        <v>35</v>
      </c>
      <c r="C21" s="12">
        <f t="shared" si="0"/>
        <v>103.88</v>
      </c>
      <c r="D21" s="12">
        <v>42</v>
      </c>
      <c r="E21" s="13">
        <v>13.88</v>
      </c>
      <c r="F21" s="13">
        <v>21.45</v>
      </c>
      <c r="G21" s="14">
        <f t="shared" si="1"/>
        <v>17.95</v>
      </c>
      <c r="H21" s="14">
        <f t="shared" si="6"/>
        <v>33.9283282811509</v>
      </c>
      <c r="I21" s="14">
        <f t="shared" si="7"/>
        <v>10.6065125332158</v>
      </c>
      <c r="J21" s="14">
        <f t="shared" si="8"/>
        <v>32.2249908606928</v>
      </c>
      <c r="K21" s="14">
        <f t="shared" si="9"/>
        <v>8.59418848667279</v>
      </c>
      <c r="L21" s="14">
        <f t="shared" si="2"/>
        <v>10.0941884866728</v>
      </c>
      <c r="M21" s="14">
        <f t="shared" si="10"/>
        <v>-10.6065125332158</v>
      </c>
      <c r="N21" s="14">
        <f t="shared" si="11"/>
        <v>32.2249908606928</v>
      </c>
      <c r="O21" s="14">
        <f t="shared" si="12"/>
        <v>0.209444346798146</v>
      </c>
      <c r="P21" s="14" t="str">
        <f t="shared" si="3"/>
        <v>10.61,32.22</v>
      </c>
      <c r="Q21" s="14" t="str">
        <f t="shared" si="4"/>
        <v>33.93,8.59</v>
      </c>
      <c r="R21" s="31" t="str">
        <f t="shared" si="5"/>
        <v>10.61,32.22,8.59</v>
      </c>
    </row>
    <row r="22" ht="15.6" spans="1:18">
      <c r="A22" s="11">
        <v>14</v>
      </c>
      <c r="B22" s="12">
        <v>38</v>
      </c>
      <c r="C22" s="12">
        <f t="shared" si="0"/>
        <v>102.77</v>
      </c>
      <c r="D22" s="12">
        <v>45</v>
      </c>
      <c r="E22" s="13">
        <v>12.77</v>
      </c>
      <c r="F22" s="13">
        <v>22.11</v>
      </c>
      <c r="G22" s="14">
        <f t="shared" si="1"/>
        <v>18.61</v>
      </c>
      <c r="H22" s="14">
        <f t="shared" si="6"/>
        <v>36.8475634871706</v>
      </c>
      <c r="I22" s="14">
        <f t="shared" si="7"/>
        <v>11.5221628396642</v>
      </c>
      <c r="J22" s="14">
        <f t="shared" si="8"/>
        <v>34.9969069316384</v>
      </c>
      <c r="K22" s="14">
        <f t="shared" si="9"/>
        <v>9.2856115206649</v>
      </c>
      <c r="L22" s="14">
        <f t="shared" si="2"/>
        <v>10.7856115206649</v>
      </c>
      <c r="M22" s="14">
        <f t="shared" si="10"/>
        <v>-11.5221628396642</v>
      </c>
      <c r="N22" s="14">
        <f t="shared" si="11"/>
        <v>34.9969069316384</v>
      </c>
      <c r="O22" s="14">
        <f t="shared" si="12"/>
        <v>0.427466217090307</v>
      </c>
      <c r="P22" s="14" t="str">
        <f t="shared" si="3"/>
        <v>11.52,35</v>
      </c>
      <c r="Q22" s="14" t="str">
        <f t="shared" si="4"/>
        <v>36.85,9.29</v>
      </c>
      <c r="R22" s="31" t="str">
        <f t="shared" si="5"/>
        <v>11.52,35,9.29</v>
      </c>
    </row>
    <row r="23" ht="15.6" spans="1:18">
      <c r="A23" s="11">
        <v>15</v>
      </c>
      <c r="B23" s="12">
        <v>41</v>
      </c>
      <c r="C23" s="12">
        <f t="shared" si="0"/>
        <v>101</v>
      </c>
      <c r="D23" s="12">
        <v>48</v>
      </c>
      <c r="E23" s="13">
        <v>11</v>
      </c>
      <c r="F23" s="13">
        <v>21.35</v>
      </c>
      <c r="G23" s="14">
        <f t="shared" si="1"/>
        <v>17.85</v>
      </c>
      <c r="H23" s="14">
        <f t="shared" si="6"/>
        <v>39.7832522942637</v>
      </c>
      <c r="I23" s="14">
        <f t="shared" si="7"/>
        <v>12.4405410622004</v>
      </c>
      <c r="J23" s="14">
        <f t="shared" si="8"/>
        <v>37.7852487708795</v>
      </c>
      <c r="K23" s="14">
        <f t="shared" si="9"/>
        <v>9.90345553650429</v>
      </c>
      <c r="L23" s="14">
        <f t="shared" si="2"/>
        <v>11.4034555365043</v>
      </c>
      <c r="M23" s="14">
        <f t="shared" si="10"/>
        <v>-12.4405410622004</v>
      </c>
      <c r="N23" s="14">
        <f t="shared" si="11"/>
        <v>37.7852487708795</v>
      </c>
      <c r="O23" s="14">
        <f t="shared" si="12"/>
        <v>0.639961037072824</v>
      </c>
      <c r="P23" s="14" t="str">
        <f t="shared" si="3"/>
        <v>12.44,37.79</v>
      </c>
      <c r="Q23" s="14" t="str">
        <f t="shared" si="4"/>
        <v>39.78,9.9</v>
      </c>
      <c r="R23" s="31" t="str">
        <f t="shared" si="5"/>
        <v>12.44,37.79,9.9</v>
      </c>
    </row>
    <row r="24" ht="15.6" spans="1:18">
      <c r="A24" s="11">
        <v>16</v>
      </c>
      <c r="B24" s="12">
        <v>44</v>
      </c>
      <c r="C24" s="12">
        <f t="shared" si="0"/>
        <v>100.56</v>
      </c>
      <c r="D24" s="12">
        <v>51</v>
      </c>
      <c r="E24" s="13">
        <v>10.56</v>
      </c>
      <c r="F24" s="13">
        <v>20.78</v>
      </c>
      <c r="G24" s="14">
        <f t="shared" si="1"/>
        <v>17.28</v>
      </c>
      <c r="H24" s="14">
        <f t="shared" si="6"/>
        <v>42.7303100921664</v>
      </c>
      <c r="I24" s="14">
        <f t="shared" si="7"/>
        <v>13.3299264540125</v>
      </c>
      <c r="J24" s="14">
        <f t="shared" si="8"/>
        <v>40.594900580092</v>
      </c>
      <c r="K24" s="14">
        <f t="shared" si="9"/>
        <v>10.464570797231</v>
      </c>
      <c r="L24" s="14">
        <f t="shared" si="2"/>
        <v>11.964570797231</v>
      </c>
      <c r="M24" s="14">
        <f t="shared" si="10"/>
        <v>-13.3299264540125</v>
      </c>
      <c r="N24" s="14">
        <f t="shared" si="11"/>
        <v>40.594900580092</v>
      </c>
      <c r="O24" s="14">
        <f t="shared" si="12"/>
        <v>0.237377361078109</v>
      </c>
      <c r="P24" s="14" t="str">
        <f t="shared" si="3"/>
        <v>13.33,40.59</v>
      </c>
      <c r="Q24" s="14" t="str">
        <f t="shared" si="4"/>
        <v>42.73,10.46</v>
      </c>
      <c r="R24" s="31" t="str">
        <f t="shared" si="5"/>
        <v>13.33,40.59,10.46</v>
      </c>
    </row>
    <row r="25" ht="15.6" spans="1:18">
      <c r="A25" s="11">
        <v>17</v>
      </c>
      <c r="B25" s="12">
        <v>47</v>
      </c>
      <c r="C25" s="12">
        <f t="shared" si="0"/>
        <v>100.1</v>
      </c>
      <c r="D25" s="12">
        <v>54</v>
      </c>
      <c r="E25" s="13">
        <v>10.1</v>
      </c>
      <c r="F25" s="13">
        <v>20.68</v>
      </c>
      <c r="G25" s="14">
        <f t="shared" si="1"/>
        <v>17.18</v>
      </c>
      <c r="H25" s="14">
        <f t="shared" si="6"/>
        <v>45.6816839395107</v>
      </c>
      <c r="I25" s="14">
        <f t="shared" si="7"/>
        <v>14.204147565448</v>
      </c>
      <c r="J25" s="14">
        <f t="shared" si="8"/>
        <v>43.4138268003234</v>
      </c>
      <c r="K25" s="14">
        <f t="shared" si="9"/>
        <v>11.0025228519836</v>
      </c>
      <c r="L25" s="14">
        <f t="shared" si="2"/>
        <v>12.5025228519836</v>
      </c>
      <c r="M25" s="14">
        <f t="shared" si="10"/>
        <v>-14.204147565448</v>
      </c>
      <c r="N25" s="14">
        <f t="shared" si="11"/>
        <v>43.4138268003234</v>
      </c>
      <c r="O25" s="14">
        <f t="shared" si="12"/>
        <v>0.156800792099331</v>
      </c>
      <c r="P25" s="14" t="str">
        <f t="shared" si="3"/>
        <v>14.2,43.41</v>
      </c>
      <c r="Q25" s="14" t="str">
        <f t="shared" si="4"/>
        <v>45.68,11</v>
      </c>
      <c r="R25" s="31" t="str">
        <f t="shared" si="5"/>
        <v>14.2,43.41,11</v>
      </c>
    </row>
    <row r="26" ht="15.6" spans="1:18">
      <c r="A26" s="11">
        <v>18</v>
      </c>
      <c r="B26" s="12">
        <v>50</v>
      </c>
      <c r="C26" s="12">
        <f t="shared" si="0"/>
        <v>99.82</v>
      </c>
      <c r="D26" s="12">
        <v>57</v>
      </c>
      <c r="E26" s="13">
        <v>9.82</v>
      </c>
      <c r="F26" s="13">
        <v>20.11</v>
      </c>
      <c r="G26" s="14">
        <f t="shared" si="1"/>
        <v>16.61</v>
      </c>
      <c r="H26" s="14">
        <f t="shared" si="6"/>
        <v>48.6364701664356</v>
      </c>
      <c r="I26" s="14">
        <f t="shared" si="7"/>
        <v>15.0628636819958</v>
      </c>
      <c r="J26" s="14">
        <f t="shared" si="8"/>
        <v>46.2410813481146</v>
      </c>
      <c r="K26" s="14">
        <f t="shared" si="9"/>
        <v>11.5214046816662</v>
      </c>
      <c r="L26" s="14">
        <f t="shared" si="2"/>
        <v>13.0214046816662</v>
      </c>
      <c r="M26" s="14">
        <f t="shared" si="10"/>
        <v>-15.0628636819958</v>
      </c>
      <c r="N26" s="14">
        <f t="shared" si="11"/>
        <v>46.2410813481146</v>
      </c>
      <c r="O26" s="14">
        <f t="shared" si="12"/>
        <v>0.209119777584267</v>
      </c>
      <c r="P26" s="14" t="str">
        <f t="shared" si="3"/>
        <v>15.06,46.24</v>
      </c>
      <c r="Q26" s="14" t="str">
        <f t="shared" si="4"/>
        <v>48.64,11.52</v>
      </c>
      <c r="R26" s="31" t="str">
        <f t="shared" si="5"/>
        <v>15.06,46.24,11.52</v>
      </c>
    </row>
    <row r="27" ht="15.6" spans="1:18">
      <c r="A27" s="11">
        <v>19</v>
      </c>
      <c r="B27" s="12">
        <v>53</v>
      </c>
      <c r="C27" s="12">
        <f t="shared" si="0"/>
        <v>99.11</v>
      </c>
      <c r="D27" s="12">
        <v>60</v>
      </c>
      <c r="E27" s="13">
        <v>9.11</v>
      </c>
      <c r="F27" s="13">
        <v>19.15</v>
      </c>
      <c r="G27" s="14">
        <f t="shared" si="1"/>
        <v>15.65</v>
      </c>
      <c r="H27" s="14">
        <f t="shared" si="6"/>
        <v>51.5956288845056</v>
      </c>
      <c r="I27" s="14">
        <f t="shared" si="7"/>
        <v>15.8849702860445</v>
      </c>
      <c r="J27" s="14">
        <f t="shared" si="8"/>
        <v>49.0837492939552</v>
      </c>
      <c r="K27" s="14">
        <f t="shared" si="9"/>
        <v>12.0147399442111</v>
      </c>
      <c r="L27" s="14">
        <f t="shared" si="2"/>
        <v>13.5147399442111</v>
      </c>
      <c r="M27" s="14">
        <f t="shared" si="10"/>
        <v>-15.8849702860445</v>
      </c>
      <c r="N27" s="14">
        <f t="shared" si="11"/>
        <v>49.0837492939552</v>
      </c>
      <c r="O27" s="14">
        <f t="shared" si="12"/>
        <v>0.394513050366114</v>
      </c>
      <c r="P27" s="14" t="str">
        <f t="shared" si="3"/>
        <v>15.88,49.08</v>
      </c>
      <c r="Q27" s="14" t="str">
        <f t="shared" si="4"/>
        <v>51.6,12.01</v>
      </c>
      <c r="R27" s="31" t="str">
        <f t="shared" si="5"/>
        <v>15.88,49.08,12.01</v>
      </c>
    </row>
    <row r="28" ht="15.6" spans="1:18">
      <c r="A28" s="11">
        <v>20</v>
      </c>
      <c r="B28" s="12">
        <v>56</v>
      </c>
      <c r="C28" s="12">
        <f t="shared" si="0"/>
        <v>98.35</v>
      </c>
      <c r="D28" s="12">
        <v>63</v>
      </c>
      <c r="E28" s="13">
        <v>8.35</v>
      </c>
      <c r="F28" s="13">
        <v>19.35</v>
      </c>
      <c r="G28" s="14">
        <f t="shared" si="1"/>
        <v>15.85</v>
      </c>
      <c r="H28" s="14">
        <f t="shared" si="6"/>
        <v>54.5608725384999</v>
      </c>
      <c r="I28" s="14">
        <f t="shared" si="7"/>
        <v>16.6898573574443</v>
      </c>
      <c r="J28" s="14">
        <f t="shared" si="8"/>
        <v>51.9376635761029</v>
      </c>
      <c r="K28" s="14">
        <f t="shared" si="9"/>
        <v>12.4700750652447</v>
      </c>
      <c r="L28" s="14">
        <f t="shared" si="2"/>
        <v>13.9700750652447</v>
      </c>
      <c r="M28" s="14">
        <f t="shared" si="10"/>
        <v>-16.6898573574443</v>
      </c>
      <c r="N28" s="14">
        <f t="shared" si="11"/>
        <v>51.9376635761029</v>
      </c>
      <c r="O28" s="14">
        <f t="shared" si="12"/>
        <v>0.261762810061867</v>
      </c>
      <c r="P28" s="14" t="str">
        <f t="shared" si="3"/>
        <v>16.69,51.94</v>
      </c>
      <c r="Q28" s="14" t="str">
        <f t="shared" si="4"/>
        <v>54.56,12.47</v>
      </c>
      <c r="R28" s="31" t="str">
        <f t="shared" si="5"/>
        <v>16.69,51.94,12.47</v>
      </c>
    </row>
    <row r="29" ht="15.6" spans="1:18">
      <c r="A29" s="11">
        <v>21</v>
      </c>
      <c r="B29" s="12">
        <v>59</v>
      </c>
      <c r="C29" s="12">
        <f t="shared" si="0"/>
        <v>97.84</v>
      </c>
      <c r="D29" s="12">
        <v>66</v>
      </c>
      <c r="E29" s="13">
        <v>7.84</v>
      </c>
      <c r="F29" s="13">
        <v>19.64</v>
      </c>
      <c r="G29" s="14">
        <f t="shared" si="1"/>
        <v>16.14</v>
      </c>
      <c r="H29" s="14">
        <f t="shared" si="6"/>
        <v>57.5309803881966</v>
      </c>
      <c r="I29" s="14">
        <f t="shared" si="7"/>
        <v>17.5082808783157</v>
      </c>
      <c r="J29" s="14">
        <f t="shared" si="8"/>
        <v>54.792785916619</v>
      </c>
      <c r="K29" s="14">
        <f t="shared" si="9"/>
        <v>12.8925195718608</v>
      </c>
      <c r="L29" s="14">
        <f t="shared" si="2"/>
        <v>14.3925195718608</v>
      </c>
      <c r="M29" s="14">
        <f t="shared" si="10"/>
        <v>-17.5082808783157</v>
      </c>
      <c r="N29" s="14">
        <f t="shared" si="11"/>
        <v>54.792785916619</v>
      </c>
      <c r="O29" s="14">
        <f t="shared" si="12"/>
        <v>0.195087392276359</v>
      </c>
      <c r="P29" s="14" t="str">
        <f t="shared" si="3"/>
        <v>17.51,54.79</v>
      </c>
      <c r="Q29" s="14" t="str">
        <f t="shared" si="4"/>
        <v>57.53,12.89</v>
      </c>
      <c r="R29" s="31" t="str">
        <f t="shared" si="5"/>
        <v>17.51,54.79,12.89</v>
      </c>
    </row>
    <row r="30" ht="15.6" spans="1:18">
      <c r="A30" s="11">
        <v>22</v>
      </c>
      <c r="B30" s="12">
        <v>62</v>
      </c>
      <c r="C30" s="12">
        <f t="shared" si="0"/>
        <v>97.08</v>
      </c>
      <c r="D30" s="12">
        <v>69</v>
      </c>
      <c r="E30" s="13">
        <v>7.08</v>
      </c>
      <c r="F30" s="13">
        <v>18.44</v>
      </c>
      <c r="G30" s="14">
        <f t="shared" si="1"/>
        <v>14.94</v>
      </c>
      <c r="H30" s="14">
        <f t="shared" si="6"/>
        <v>60.5055876208862</v>
      </c>
      <c r="I30" s="14">
        <f t="shared" si="7"/>
        <v>18.3052110309152</v>
      </c>
      <c r="J30" s="14">
        <f t="shared" si="8"/>
        <v>57.65865236861</v>
      </c>
      <c r="K30" s="14">
        <f t="shared" si="9"/>
        <v>13.2820215760023</v>
      </c>
      <c r="L30" s="14">
        <f t="shared" si="2"/>
        <v>14.7820215760023</v>
      </c>
      <c r="M30" s="14">
        <f t="shared" si="10"/>
        <v>-18.3052110309152</v>
      </c>
      <c r="N30" s="14">
        <f t="shared" si="11"/>
        <v>57.65865236861</v>
      </c>
      <c r="O30" s="14">
        <f t="shared" si="12"/>
        <v>0.470614658611512</v>
      </c>
      <c r="P30" s="14" t="str">
        <f t="shared" si="3"/>
        <v>18.31,57.66</v>
      </c>
      <c r="Q30" s="14" t="str">
        <f t="shared" si="4"/>
        <v>60.51,13.28</v>
      </c>
      <c r="R30" s="31" t="str">
        <f t="shared" si="5"/>
        <v>18.31,57.66,13.28</v>
      </c>
    </row>
    <row r="31" ht="15.6" spans="1:18">
      <c r="A31" s="11">
        <v>23</v>
      </c>
      <c r="B31" s="12">
        <v>65</v>
      </c>
      <c r="C31" s="12">
        <f t="shared" si="0"/>
        <v>96.35</v>
      </c>
      <c r="D31" s="12">
        <v>72</v>
      </c>
      <c r="E31" s="13">
        <v>6.35</v>
      </c>
      <c r="F31" s="13">
        <v>19.9</v>
      </c>
      <c r="G31" s="14">
        <f t="shared" si="1"/>
        <v>16.4</v>
      </c>
      <c r="H31" s="14">
        <f t="shared" si="6"/>
        <v>63.4850078344138</v>
      </c>
      <c r="I31" s="14">
        <f t="shared" si="7"/>
        <v>19.1099415398722</v>
      </c>
      <c r="J31" s="14">
        <f t="shared" si="8"/>
        <v>60.5273373664323</v>
      </c>
      <c r="K31" s="14">
        <f t="shared" si="9"/>
        <v>13.6328138097008</v>
      </c>
      <c r="L31" s="14">
        <f t="shared" si="2"/>
        <v>15.1328138097008</v>
      </c>
      <c r="M31" s="14">
        <f t="shared" si="10"/>
        <v>-19.1099415398722</v>
      </c>
      <c r="N31" s="14">
        <f t="shared" si="11"/>
        <v>60.5273373664323</v>
      </c>
      <c r="O31" s="14">
        <f t="shared" si="12"/>
        <v>0.541122689080199</v>
      </c>
      <c r="P31" s="14" t="str">
        <f t="shared" si="3"/>
        <v>19.11,60.53</v>
      </c>
      <c r="Q31" s="14" t="str">
        <f t="shared" si="4"/>
        <v>63.49,13.63</v>
      </c>
      <c r="R31" s="31" t="str">
        <f t="shared" si="5"/>
        <v>19.11,60.53,13.63</v>
      </c>
    </row>
    <row r="32" ht="15.6" spans="1:18">
      <c r="A32" s="11">
        <v>24</v>
      </c>
      <c r="B32" s="12">
        <v>68</v>
      </c>
      <c r="C32" s="12">
        <f t="shared" si="0"/>
        <v>95.33</v>
      </c>
      <c r="D32" s="12">
        <v>75</v>
      </c>
      <c r="E32" s="13">
        <v>5.33</v>
      </c>
      <c r="F32" s="13">
        <v>19.1</v>
      </c>
      <c r="G32" s="14">
        <f t="shared" si="1"/>
        <v>15.6</v>
      </c>
      <c r="H32" s="14">
        <f t="shared" si="6"/>
        <v>66.4694375817644</v>
      </c>
      <c r="I32" s="14">
        <f t="shared" si="7"/>
        <v>19.9325618640535</v>
      </c>
      <c r="J32" s="14">
        <f t="shared" si="8"/>
        <v>63.3961553667792</v>
      </c>
      <c r="K32" s="14">
        <f t="shared" si="9"/>
        <v>13.938066300484</v>
      </c>
      <c r="L32" s="14">
        <f t="shared" si="2"/>
        <v>15.438066300484</v>
      </c>
      <c r="M32" s="14">
        <f t="shared" si="10"/>
        <v>-19.9325618640535</v>
      </c>
      <c r="N32" s="14">
        <f t="shared" si="11"/>
        <v>63.3961553667792</v>
      </c>
      <c r="O32" s="14">
        <f t="shared" si="12"/>
        <v>0.431245814480607</v>
      </c>
      <c r="P32" s="14" t="str">
        <f t="shared" si="3"/>
        <v>19.93,63.4</v>
      </c>
      <c r="Q32" s="14" t="str">
        <f t="shared" si="4"/>
        <v>66.47,13.94</v>
      </c>
      <c r="R32" s="31" t="str">
        <f t="shared" si="5"/>
        <v>19.93,63.4,13.94</v>
      </c>
    </row>
    <row r="33" ht="15.6" spans="1:18">
      <c r="A33" s="11">
        <v>25</v>
      </c>
      <c r="B33" s="12">
        <v>71</v>
      </c>
      <c r="C33" s="12">
        <f t="shared" si="0"/>
        <v>95.12</v>
      </c>
      <c r="D33" s="12">
        <v>78</v>
      </c>
      <c r="E33" s="13">
        <v>5.12</v>
      </c>
      <c r="F33" s="13">
        <v>18.3</v>
      </c>
      <c r="G33" s="14">
        <f t="shared" si="1"/>
        <v>14.8</v>
      </c>
      <c r="H33" s="14">
        <f t="shared" si="6"/>
        <v>69.4569718554425</v>
      </c>
      <c r="I33" s="14">
        <f t="shared" si="7"/>
        <v>20.7158610214306</v>
      </c>
      <c r="J33" s="14">
        <f t="shared" si="8"/>
        <v>66.27917521868</v>
      </c>
      <c r="K33" s="14">
        <f t="shared" si="9"/>
        <v>14.2112676247826</v>
      </c>
      <c r="L33" s="14">
        <f t="shared" si="2"/>
        <v>15.7112676247826</v>
      </c>
      <c r="M33" s="14">
        <f t="shared" si="10"/>
        <v>-20.7158610214306</v>
      </c>
      <c r="N33" s="14">
        <f t="shared" si="11"/>
        <v>66.27917521868</v>
      </c>
      <c r="O33" s="14">
        <f t="shared" si="12"/>
        <v>0.274629351531576</v>
      </c>
      <c r="P33" s="14" t="str">
        <f t="shared" si="3"/>
        <v>20.72,66.28</v>
      </c>
      <c r="Q33" s="14" t="str">
        <f t="shared" si="4"/>
        <v>69.46,14.21</v>
      </c>
      <c r="R33" s="31" t="str">
        <f t="shared" si="5"/>
        <v>20.72,66.28,14.21</v>
      </c>
    </row>
    <row r="34" ht="15.6" spans="1:18">
      <c r="A34" s="11">
        <v>26</v>
      </c>
      <c r="B34" s="12">
        <v>74</v>
      </c>
      <c r="C34" s="12">
        <f t="shared" si="0"/>
        <v>94.35</v>
      </c>
      <c r="D34" s="12">
        <v>81</v>
      </c>
      <c r="E34" s="13">
        <v>4.35</v>
      </c>
      <c r="F34" s="13">
        <v>17.5</v>
      </c>
      <c r="G34" s="14">
        <f t="shared" si="1"/>
        <v>14</v>
      </c>
      <c r="H34" s="14">
        <f t="shared" si="6"/>
        <v>72.4467332978938</v>
      </c>
      <c r="I34" s="14">
        <f t="shared" si="7"/>
        <v>21.4593844572036</v>
      </c>
      <c r="J34" s="14">
        <f t="shared" si="8"/>
        <v>69.17500780763</v>
      </c>
      <c r="K34" s="14">
        <f t="shared" si="9"/>
        <v>14.4589095380994</v>
      </c>
      <c r="L34" s="14">
        <f t="shared" si="2"/>
        <v>15.9589095380994</v>
      </c>
      <c r="M34" s="14">
        <f t="shared" si="10"/>
        <v>-21.4593844572036</v>
      </c>
      <c r="N34" s="14">
        <f t="shared" si="11"/>
        <v>69.17500780763</v>
      </c>
      <c r="O34" s="14">
        <f t="shared" si="12"/>
        <v>0.369463450170116</v>
      </c>
      <c r="P34" s="14" t="str">
        <f t="shared" si="3"/>
        <v>21.46,69.18</v>
      </c>
      <c r="Q34" s="14" t="str">
        <f t="shared" si="4"/>
        <v>72.45,14.46</v>
      </c>
      <c r="R34" s="31" t="str">
        <f t="shared" si="5"/>
        <v>21.46,69.18,14.46</v>
      </c>
    </row>
    <row r="35" ht="15.6" spans="1:18">
      <c r="A35" s="11">
        <v>27</v>
      </c>
      <c r="B35" s="12">
        <v>77</v>
      </c>
      <c r="C35" s="12">
        <f t="shared" si="0"/>
        <v>93.86</v>
      </c>
      <c r="D35" s="12">
        <v>84</v>
      </c>
      <c r="E35" s="13">
        <v>3.86</v>
      </c>
      <c r="F35" s="13">
        <v>16.7</v>
      </c>
      <c r="G35" s="14">
        <f t="shared" si="1"/>
        <v>13.2</v>
      </c>
      <c r="H35" s="14">
        <f t="shared" si="6"/>
        <v>75.4390369173056</v>
      </c>
      <c r="I35" s="14">
        <f t="shared" si="7"/>
        <v>22.1630010533166</v>
      </c>
      <c r="J35" s="14">
        <f t="shared" si="8"/>
        <v>72.0834102275883</v>
      </c>
      <c r="K35" s="14">
        <f t="shared" si="9"/>
        <v>14.6736629996667</v>
      </c>
      <c r="L35" s="14">
        <f t="shared" si="2"/>
        <v>16.1736629996667</v>
      </c>
      <c r="M35" s="14">
        <f t="shared" si="10"/>
        <v>-22.1630010533167</v>
      </c>
      <c r="N35" s="14">
        <f t="shared" si="11"/>
        <v>72.0834102275883</v>
      </c>
      <c r="O35" s="14">
        <f t="shared" si="12"/>
        <v>0.31212825523273</v>
      </c>
      <c r="P35" s="14" t="str">
        <f t="shared" si="3"/>
        <v>22.16,72.08</v>
      </c>
      <c r="Q35" s="14" t="str">
        <f t="shared" si="4"/>
        <v>75.44,14.67</v>
      </c>
      <c r="R35" s="31" t="str">
        <f t="shared" si="5"/>
        <v>22.16,72.08,14.67</v>
      </c>
    </row>
    <row r="36" ht="15.6" spans="1:18">
      <c r="A36" s="11">
        <v>28</v>
      </c>
      <c r="B36" s="12">
        <v>80</v>
      </c>
      <c r="C36" s="12">
        <f t="shared" si="0"/>
        <v>92.98</v>
      </c>
      <c r="D36" s="12">
        <v>87</v>
      </c>
      <c r="E36" s="13">
        <v>2.98</v>
      </c>
      <c r="F36" s="13">
        <v>15.9</v>
      </c>
      <c r="G36" s="14">
        <f t="shared" si="1"/>
        <v>12.4</v>
      </c>
      <c r="H36" s="14">
        <f t="shared" si="6"/>
        <v>78.4336941131402</v>
      </c>
      <c r="I36" s="14">
        <f t="shared" si="7"/>
        <v>22.8264628559391</v>
      </c>
      <c r="J36" s="14">
        <f t="shared" si="8"/>
        <v>75.0036482584729</v>
      </c>
      <c r="K36" s="14">
        <f t="shared" si="9"/>
        <v>14.8526274638372</v>
      </c>
      <c r="L36" s="14">
        <f t="shared" si="2"/>
        <v>16.3526274638372</v>
      </c>
      <c r="M36" s="14">
        <f t="shared" si="10"/>
        <v>-22.8264628559391</v>
      </c>
      <c r="N36" s="14">
        <f t="shared" si="11"/>
        <v>75.0036482584729</v>
      </c>
      <c r="O36" s="14">
        <f t="shared" si="12"/>
        <v>0.396107410495758</v>
      </c>
      <c r="P36" s="14" t="str">
        <f t="shared" si="3"/>
        <v>22.83,75</v>
      </c>
      <c r="Q36" s="14" t="str">
        <f t="shared" si="4"/>
        <v>78.43,14.85</v>
      </c>
      <c r="R36" s="31" t="str">
        <f t="shared" si="5"/>
        <v>22.83,75,14.85</v>
      </c>
    </row>
    <row r="37" ht="15.6" spans="1:18">
      <c r="A37" s="11">
        <v>29</v>
      </c>
      <c r="B37" s="12">
        <v>83</v>
      </c>
      <c r="C37" s="12">
        <f t="shared" si="0"/>
        <v>92.45</v>
      </c>
      <c r="D37" s="12">
        <v>90</v>
      </c>
      <c r="E37" s="13">
        <v>2.45</v>
      </c>
      <c r="F37" s="13">
        <v>15.1</v>
      </c>
      <c r="G37" s="14">
        <f t="shared" si="1"/>
        <v>11.6</v>
      </c>
      <c r="H37" s="14">
        <f t="shared" si="6"/>
        <v>81.4303266380125</v>
      </c>
      <c r="I37" s="14">
        <f t="shared" si="7"/>
        <v>23.4494977909448</v>
      </c>
      <c r="J37" s="14">
        <f t="shared" si="8"/>
        <v>77.9347971729576</v>
      </c>
      <c r="K37" s="14">
        <f t="shared" si="9"/>
        <v>14.9947313373875</v>
      </c>
      <c r="L37" s="14">
        <f t="shared" si="2"/>
        <v>16.4947313373875</v>
      </c>
      <c r="M37" s="14">
        <f t="shared" si="10"/>
        <v>-23.4494977909448</v>
      </c>
      <c r="N37" s="14">
        <f t="shared" si="11"/>
        <v>77.9347971729576</v>
      </c>
      <c r="O37" s="14">
        <f t="shared" si="12"/>
        <v>0.31962815368455</v>
      </c>
      <c r="P37" s="14" t="str">
        <f t="shared" si="3"/>
        <v>23.45,77.93</v>
      </c>
      <c r="Q37" s="14" t="str">
        <f t="shared" si="4"/>
        <v>81.43,14.99</v>
      </c>
      <c r="R37" s="31" t="str">
        <f t="shared" si="5"/>
        <v>23.45,77.93,14.99</v>
      </c>
    </row>
    <row r="38" ht="15.6" spans="1:18">
      <c r="A38" s="11">
        <v>30</v>
      </c>
      <c r="B38" s="12">
        <v>86</v>
      </c>
      <c r="C38" s="12">
        <f t="shared" si="0"/>
        <v>91.68</v>
      </c>
      <c r="D38" s="12">
        <v>93</v>
      </c>
      <c r="E38" s="13">
        <v>1.68</v>
      </c>
      <c r="F38" s="13">
        <v>14.3</v>
      </c>
      <c r="G38" s="14">
        <f t="shared" si="1"/>
        <v>10.8</v>
      </c>
      <c r="H38" s="14">
        <f t="shared" si="6"/>
        <v>84.4283784130892</v>
      </c>
      <c r="I38" s="14">
        <f t="shared" si="7"/>
        <v>24.0318224324007</v>
      </c>
      <c r="J38" s="14">
        <f t="shared" si="8"/>
        <v>80.8757515177229</v>
      </c>
      <c r="K38" s="14">
        <f t="shared" si="9"/>
        <v>15.1028310781784</v>
      </c>
      <c r="L38" s="14">
        <f t="shared" si="2"/>
        <v>16.6028310781784</v>
      </c>
      <c r="M38" s="14">
        <f t="shared" si="10"/>
        <v>-24.0318224324007</v>
      </c>
      <c r="N38" s="14">
        <f t="shared" si="11"/>
        <v>80.8757515177229</v>
      </c>
      <c r="O38" s="14">
        <f t="shared" si="12"/>
        <v>0.369993897293023</v>
      </c>
      <c r="P38" s="14" t="str">
        <f t="shared" si="3"/>
        <v>24.03,80.88</v>
      </c>
      <c r="Q38" s="14" t="str">
        <f t="shared" si="4"/>
        <v>84.43,15.1</v>
      </c>
      <c r="R38" s="31" t="str">
        <f t="shared" si="5"/>
        <v>24.03,80.88,15.1</v>
      </c>
    </row>
    <row r="39" ht="15.6" spans="1:18">
      <c r="A39" s="11">
        <v>31</v>
      </c>
      <c r="B39" s="12">
        <v>89</v>
      </c>
      <c r="C39" s="12">
        <f t="shared" si="0"/>
        <v>91.13</v>
      </c>
      <c r="D39" s="12">
        <v>96</v>
      </c>
      <c r="E39" s="13">
        <v>1.13</v>
      </c>
      <c r="F39" s="13">
        <v>13.9</v>
      </c>
      <c r="G39" s="14">
        <f t="shared" si="1"/>
        <v>10.4</v>
      </c>
      <c r="H39" s="14">
        <f t="shared" si="6"/>
        <v>87.4274764746838</v>
      </c>
      <c r="I39" s="14">
        <f t="shared" si="7"/>
        <v>24.583510571451</v>
      </c>
      <c r="J39" s="14">
        <f t="shared" si="8"/>
        <v>83.8236710180301</v>
      </c>
      <c r="K39" s="14">
        <f t="shared" si="9"/>
        <v>15.1763893335949</v>
      </c>
      <c r="L39" s="14">
        <f t="shared" si="2"/>
        <v>16.6763893335949</v>
      </c>
      <c r="M39" s="14">
        <f t="shared" si="10"/>
        <v>-24.583510571451</v>
      </c>
      <c r="N39" s="14">
        <f t="shared" si="11"/>
        <v>83.8236710180301</v>
      </c>
      <c r="O39" s="14">
        <f t="shared" si="12"/>
        <v>0.226667298333624</v>
      </c>
      <c r="P39" s="14" t="str">
        <f t="shared" si="3"/>
        <v>24.58,83.82</v>
      </c>
      <c r="Q39" s="14" t="str">
        <f t="shared" si="4"/>
        <v>87.43,15.18</v>
      </c>
      <c r="R39" s="31" t="str">
        <f t="shared" si="5"/>
        <v>24.58,83.82,15.18</v>
      </c>
    </row>
    <row r="40" ht="15.6" spans="1:18">
      <c r="A40" s="11">
        <v>32</v>
      </c>
      <c r="B40" s="12">
        <v>92</v>
      </c>
      <c r="C40" s="12">
        <f t="shared" si="0"/>
        <v>90.66</v>
      </c>
      <c r="D40" s="12">
        <v>99</v>
      </c>
      <c r="E40" s="13">
        <v>0.66</v>
      </c>
      <c r="F40" s="13">
        <v>12.15</v>
      </c>
      <c r="G40" s="14">
        <f t="shared" si="1"/>
        <v>8.65</v>
      </c>
      <c r="H40" s="14">
        <f t="shared" si="6"/>
        <v>90.427110472873</v>
      </c>
      <c r="I40" s="14">
        <f t="shared" si="7"/>
        <v>25.0798838214663</v>
      </c>
      <c r="J40" s="14">
        <f t="shared" si="8"/>
        <v>86.7819505382516</v>
      </c>
      <c r="K40" s="14">
        <f t="shared" si="9"/>
        <v>15.2232495182611</v>
      </c>
      <c r="L40" s="14">
        <f t="shared" si="2"/>
        <v>16.723249518261</v>
      </c>
      <c r="M40" s="14">
        <f t="shared" si="10"/>
        <v>-25.0798838214663</v>
      </c>
      <c r="N40" s="14">
        <f t="shared" si="11"/>
        <v>86.7819505382516</v>
      </c>
      <c r="O40" s="14">
        <f t="shared" si="12"/>
        <v>0.603934833880995</v>
      </c>
      <c r="P40" s="14" t="str">
        <f t="shared" si="3"/>
        <v>25.08,86.78</v>
      </c>
      <c r="Q40" s="14" t="str">
        <f t="shared" si="4"/>
        <v>90.43,15.22</v>
      </c>
      <c r="R40" s="31" t="str">
        <f t="shared" si="5"/>
        <v>25.08,86.78,15.22</v>
      </c>
    </row>
    <row r="41" ht="15.6" spans="1:18">
      <c r="A41" s="11">
        <v>33</v>
      </c>
      <c r="B41" s="12">
        <v>95</v>
      </c>
      <c r="C41" s="12">
        <f t="shared" si="0"/>
        <v>90.35</v>
      </c>
      <c r="D41" s="12">
        <v>102</v>
      </c>
      <c r="E41" s="13">
        <v>0.35</v>
      </c>
      <c r="F41" s="13">
        <v>11.79</v>
      </c>
      <c r="G41" s="14">
        <f t="shared" si="1"/>
        <v>8.29</v>
      </c>
      <c r="H41" s="14">
        <f t="shared" si="6"/>
        <v>93.4269939460412</v>
      </c>
      <c r="I41" s="14">
        <f t="shared" si="7"/>
        <v>25.5217412882397</v>
      </c>
      <c r="J41" s="14">
        <f t="shared" si="8"/>
        <v>89.7491146442026</v>
      </c>
      <c r="K41" s="14">
        <f t="shared" si="9"/>
        <v>15.2496909140754</v>
      </c>
      <c r="L41" s="14">
        <f t="shared" si="2"/>
        <v>16.7496909140754</v>
      </c>
      <c r="M41" s="14">
        <f t="shared" si="10"/>
        <v>-25.5217412882397</v>
      </c>
      <c r="N41" s="14">
        <f t="shared" si="11"/>
        <v>89.7491146442026</v>
      </c>
      <c r="O41" s="14">
        <f t="shared" si="12"/>
        <v>0.158356004004363</v>
      </c>
      <c r="P41" s="14" t="str">
        <f t="shared" si="3"/>
        <v>25.52,89.75</v>
      </c>
      <c r="Q41" s="14" t="str">
        <f t="shared" si="4"/>
        <v>93.43,15.25</v>
      </c>
      <c r="R41" s="31" t="str">
        <f t="shared" si="5"/>
        <v>25.52,89.75,15.25</v>
      </c>
    </row>
    <row r="42" ht="15.6" spans="1:18">
      <c r="A42" s="11">
        <v>34</v>
      </c>
      <c r="B42" s="12">
        <v>98</v>
      </c>
      <c r="C42" s="12">
        <f t="shared" si="0"/>
        <v>89.35</v>
      </c>
      <c r="D42" s="12">
        <v>105</v>
      </c>
      <c r="E42" s="13">
        <v>-0.65</v>
      </c>
      <c r="F42" s="13">
        <v>10.33</v>
      </c>
      <c r="G42" s="14">
        <f t="shared" si="1"/>
        <v>6.83</v>
      </c>
      <c r="H42" s="14">
        <f t="shared" si="6"/>
        <v>96.4269836652091</v>
      </c>
      <c r="I42" s="14">
        <f t="shared" si="7"/>
        <v>25.9164330129255</v>
      </c>
      <c r="J42" s="14">
        <f t="shared" si="8"/>
        <v>92.7230273459439</v>
      </c>
      <c r="K42" s="14">
        <f t="shared" si="9"/>
        <v>15.2418369414132</v>
      </c>
      <c r="L42" s="14">
        <f t="shared" si="2"/>
        <v>16.7418369414132</v>
      </c>
      <c r="M42" s="14">
        <f t="shared" si="10"/>
        <v>-25.9164330129255</v>
      </c>
      <c r="N42" s="14">
        <f t="shared" si="11"/>
        <v>92.7230273459439</v>
      </c>
      <c r="O42" s="14">
        <f t="shared" si="12"/>
        <v>0.5898711043455</v>
      </c>
      <c r="P42" s="14" t="str">
        <f t="shared" si="3"/>
        <v>25.92,92.72</v>
      </c>
      <c r="Q42" s="14" t="str">
        <f t="shared" si="4"/>
        <v>96.43,15.24</v>
      </c>
      <c r="R42" s="31" t="str">
        <f t="shared" si="5"/>
        <v>25.92,92.72,15.24</v>
      </c>
    </row>
    <row r="43" ht="15.6" spans="1:18">
      <c r="A43" s="11">
        <v>35</v>
      </c>
      <c r="B43" s="12">
        <v>101</v>
      </c>
      <c r="C43" s="12">
        <f t="shared" si="0"/>
        <v>89.65</v>
      </c>
      <c r="D43" s="12">
        <v>108</v>
      </c>
      <c r="E43" s="13">
        <v>-0.35</v>
      </c>
      <c r="F43" s="13">
        <v>10.52</v>
      </c>
      <c r="G43" s="14">
        <f t="shared" si="1"/>
        <v>7.02</v>
      </c>
      <c r="H43" s="14">
        <f t="shared" si="6"/>
        <v>99.4268694344017</v>
      </c>
      <c r="I43" s="14">
        <f t="shared" si="7"/>
        <v>26.278129238593</v>
      </c>
      <c r="J43" s="14">
        <f t="shared" si="8"/>
        <v>95.7010284319984</v>
      </c>
      <c r="K43" s="14">
        <f t="shared" si="9"/>
        <v>15.2156573349181</v>
      </c>
      <c r="L43" s="14">
        <f t="shared" si="2"/>
        <v>16.7156573349181</v>
      </c>
      <c r="M43" s="14">
        <f t="shared" si="10"/>
        <v>-26.278129238593</v>
      </c>
      <c r="N43" s="14">
        <f t="shared" si="11"/>
        <v>95.7010284319984</v>
      </c>
      <c r="O43" s="14">
        <f t="shared" si="12"/>
        <v>0.118367210365355</v>
      </c>
      <c r="P43" s="14" t="str">
        <f t="shared" si="3"/>
        <v>26.28,95.7</v>
      </c>
      <c r="Q43" s="14" t="str">
        <f t="shared" si="4"/>
        <v>99.43,15.22</v>
      </c>
      <c r="R43" s="31" t="str">
        <f t="shared" si="5"/>
        <v>26.28,95.7,15.22</v>
      </c>
    </row>
    <row r="44" ht="15.6" spans="1:18">
      <c r="A44" s="11">
        <v>36</v>
      </c>
      <c r="B44" s="12">
        <v>104</v>
      </c>
      <c r="C44" s="12">
        <f t="shared" si="0"/>
        <v>88.35</v>
      </c>
      <c r="D44" s="12">
        <v>111</v>
      </c>
      <c r="E44" s="13">
        <v>-1.65</v>
      </c>
      <c r="F44" s="13">
        <v>9.94</v>
      </c>
      <c r="G44" s="14">
        <f t="shared" si="1"/>
        <v>6.44</v>
      </c>
      <c r="H44" s="14">
        <f t="shared" si="6"/>
        <v>102.426412519871</v>
      </c>
      <c r="I44" s="14">
        <f t="shared" si="7"/>
        <v>26.6296479244951</v>
      </c>
      <c r="J44" s="14">
        <f t="shared" si="8"/>
        <v>98.679902940105</v>
      </c>
      <c r="K44" s="14">
        <f t="shared" si="9"/>
        <v>15.1633001156062</v>
      </c>
      <c r="L44" s="14">
        <f t="shared" si="2"/>
        <v>16.6633001156062</v>
      </c>
      <c r="M44" s="14">
        <f t="shared" si="10"/>
        <v>-26.6296479244952</v>
      </c>
      <c r="N44" s="14">
        <f t="shared" si="11"/>
        <v>98.679902940105</v>
      </c>
      <c r="O44" s="14">
        <f t="shared" si="12"/>
        <v>0.474491903177988</v>
      </c>
      <c r="P44" s="14" t="str">
        <f t="shared" si="3"/>
        <v>26.63,98.68</v>
      </c>
      <c r="Q44" s="14" t="str">
        <f t="shared" si="4"/>
        <v>102.43,15.16</v>
      </c>
      <c r="R44" s="31" t="str">
        <f t="shared" si="5"/>
        <v>26.63,98.68,15.16</v>
      </c>
    </row>
    <row r="45" ht="15.6" spans="1:18">
      <c r="A45" s="11">
        <v>37</v>
      </c>
      <c r="B45" s="12">
        <v>107</v>
      </c>
      <c r="C45" s="12">
        <f t="shared" si="0"/>
        <v>89.65</v>
      </c>
      <c r="D45" s="12">
        <v>114</v>
      </c>
      <c r="E45" s="13">
        <v>-0.35</v>
      </c>
      <c r="F45" s="13">
        <v>9.72</v>
      </c>
      <c r="G45" s="14">
        <f t="shared" si="1"/>
        <v>6.22</v>
      </c>
      <c r="H45" s="14">
        <f t="shared" si="6"/>
        <v>105.42595560534</v>
      </c>
      <c r="I45" s="14">
        <f t="shared" si="7"/>
        <v>26.9603617457988</v>
      </c>
      <c r="J45" s="14">
        <f t="shared" si="8"/>
        <v>101.661158898587</v>
      </c>
      <c r="K45" s="14">
        <f t="shared" si="9"/>
        <v>15.1109428962944</v>
      </c>
      <c r="L45" s="14">
        <f t="shared" si="2"/>
        <v>16.6109428962944</v>
      </c>
      <c r="M45" s="14">
        <f t="shared" si="10"/>
        <v>-26.9603617457988</v>
      </c>
      <c r="N45" s="14">
        <f t="shared" si="11"/>
        <v>101.661158898587</v>
      </c>
      <c r="O45" s="14">
        <f t="shared" si="12"/>
        <v>0.439492533161044</v>
      </c>
      <c r="P45" s="14" t="str">
        <f t="shared" si="3"/>
        <v>26.96,101.66</v>
      </c>
      <c r="Q45" s="14" t="str">
        <f t="shared" si="4"/>
        <v>105.43,15.11</v>
      </c>
      <c r="R45" s="31" t="str">
        <f t="shared" si="5"/>
        <v>26.96,101.66,15.11</v>
      </c>
    </row>
    <row r="46" ht="15.6" spans="1:18">
      <c r="A46" s="11">
        <v>38</v>
      </c>
      <c r="B46" s="12">
        <v>110</v>
      </c>
      <c r="C46" s="12">
        <f t="shared" si="0"/>
        <v>90.33</v>
      </c>
      <c r="D46" s="12">
        <v>117</v>
      </c>
      <c r="E46" s="13">
        <v>0.33</v>
      </c>
      <c r="F46" s="13">
        <v>9.22</v>
      </c>
      <c r="G46" s="14">
        <f t="shared" si="1"/>
        <v>5.72</v>
      </c>
      <c r="H46" s="14">
        <f t="shared" si="6"/>
        <v>108.425955559647</v>
      </c>
      <c r="I46" s="14">
        <f t="shared" si="7"/>
        <v>27.272384896595</v>
      </c>
      <c r="J46" s="14">
        <f t="shared" si="8"/>
        <v>104.644888323185</v>
      </c>
      <c r="K46" s="14">
        <f t="shared" si="9"/>
        <v>15.1104192975214</v>
      </c>
      <c r="L46" s="14">
        <f t="shared" si="2"/>
        <v>16.6104192975214</v>
      </c>
      <c r="M46" s="14">
        <f t="shared" si="10"/>
        <v>-27.272384896595</v>
      </c>
      <c r="N46" s="14">
        <f t="shared" si="11"/>
        <v>104.644888323185</v>
      </c>
      <c r="O46" s="14">
        <f t="shared" si="12"/>
        <v>0.281345390320652</v>
      </c>
      <c r="P46" s="14" t="str">
        <f t="shared" si="3"/>
        <v>27.27,104.64</v>
      </c>
      <c r="Q46" s="14" t="str">
        <f t="shared" si="4"/>
        <v>108.43,15.11</v>
      </c>
      <c r="R46" s="31" t="str">
        <f t="shared" si="5"/>
        <v>27.27,104.64,15.11</v>
      </c>
    </row>
    <row r="47" ht="15.6" spans="1:18">
      <c r="A47" s="11">
        <v>39</v>
      </c>
      <c r="B47" s="12">
        <v>113</v>
      </c>
      <c r="C47" s="12">
        <f t="shared" si="0"/>
        <v>90.27</v>
      </c>
      <c r="D47" s="12">
        <v>120</v>
      </c>
      <c r="E47" s="13">
        <v>0.27</v>
      </c>
      <c r="F47" s="13">
        <v>9.23</v>
      </c>
      <c r="G47" s="14">
        <f t="shared" si="1"/>
        <v>5.73</v>
      </c>
      <c r="H47" s="14">
        <f t="shared" si="6"/>
        <v>111.42591443639</v>
      </c>
      <c r="I47" s="14">
        <f t="shared" si="7"/>
        <v>27.5716425399102</v>
      </c>
      <c r="J47" s="14">
        <f t="shared" si="8"/>
        <v>107.629883821517</v>
      </c>
      <c r="K47" s="14">
        <f t="shared" si="9"/>
        <v>15.1261271890157</v>
      </c>
      <c r="L47" s="14">
        <f t="shared" si="2"/>
        <v>16.6261271890157</v>
      </c>
      <c r="M47" s="14">
        <f t="shared" si="10"/>
        <v>-27.5716425399103</v>
      </c>
      <c r="N47" s="14">
        <f t="shared" si="11"/>
        <v>107.629883821517</v>
      </c>
      <c r="O47" s="14">
        <f t="shared" si="12"/>
        <v>0.0202758675618663</v>
      </c>
      <c r="P47" s="14" t="str">
        <f t="shared" si="3"/>
        <v>27.57,107.63</v>
      </c>
      <c r="Q47" s="14" t="str">
        <f t="shared" si="4"/>
        <v>111.43,15.13</v>
      </c>
      <c r="R47" s="31" t="str">
        <f t="shared" si="5"/>
        <v>27.57,107.63,15.13</v>
      </c>
    </row>
    <row r="48" ht="15.6" spans="1:18">
      <c r="A48" s="11">
        <v>40</v>
      </c>
      <c r="B48" s="12">
        <v>116</v>
      </c>
      <c r="C48" s="12">
        <f t="shared" si="0"/>
        <v>90.68</v>
      </c>
      <c r="D48" s="12">
        <v>123</v>
      </c>
      <c r="E48" s="13">
        <v>0.68</v>
      </c>
      <c r="F48" s="13">
        <v>9.24</v>
      </c>
      <c r="G48" s="14">
        <f t="shared" si="1"/>
        <v>5.74</v>
      </c>
      <c r="H48" s="14">
        <f t="shared" si="6"/>
        <v>114.425811343022</v>
      </c>
      <c r="I48" s="14">
        <f t="shared" si="7"/>
        <v>27.871414966138</v>
      </c>
      <c r="J48" s="14">
        <f t="shared" si="8"/>
        <v>110.614765384142</v>
      </c>
      <c r="K48" s="14">
        <f t="shared" si="9"/>
        <v>15.1509978459638</v>
      </c>
      <c r="L48" s="14">
        <f t="shared" si="2"/>
        <v>16.6509978459638</v>
      </c>
      <c r="M48" s="14">
        <f t="shared" si="10"/>
        <v>-27.871414966138</v>
      </c>
      <c r="N48" s="14">
        <f t="shared" si="11"/>
        <v>110.614765384142</v>
      </c>
      <c r="O48" s="14">
        <f t="shared" si="12"/>
        <v>0.136707308062493</v>
      </c>
      <c r="P48" s="14" t="str">
        <f t="shared" si="3"/>
        <v>27.87,110.61</v>
      </c>
      <c r="Q48" s="14" t="str">
        <f t="shared" si="4"/>
        <v>114.43,15.15</v>
      </c>
      <c r="R48" s="31" t="str">
        <f t="shared" si="5"/>
        <v>27.87,110.61,15.15</v>
      </c>
    </row>
    <row r="49" ht="15.6" spans="1:18">
      <c r="A49" s="11">
        <v>41</v>
      </c>
      <c r="B49" s="12">
        <v>119</v>
      </c>
      <c r="C49" s="12">
        <f t="shared" si="0"/>
        <v>90.68</v>
      </c>
      <c r="D49" s="12">
        <v>126</v>
      </c>
      <c r="E49" s="13">
        <v>0.68</v>
      </c>
      <c r="F49" s="13">
        <v>8.92</v>
      </c>
      <c r="G49" s="14">
        <f t="shared" si="1"/>
        <v>5.42</v>
      </c>
      <c r="H49" s="14">
        <f t="shared" si="6"/>
        <v>117.42560006286</v>
      </c>
      <c r="I49" s="14">
        <f t="shared" si="7"/>
        <v>28.1631009039743</v>
      </c>
      <c r="J49" s="14">
        <f t="shared" si="8"/>
        <v>113.60033931177</v>
      </c>
      <c r="K49" s="14">
        <f t="shared" si="9"/>
        <v>15.1866017268594</v>
      </c>
      <c r="L49" s="14">
        <f t="shared" si="2"/>
        <v>16.6866017268594</v>
      </c>
      <c r="M49" s="14">
        <f t="shared" si="10"/>
        <v>-28.1631009039743</v>
      </c>
      <c r="N49" s="14">
        <f t="shared" si="11"/>
        <v>113.60033931177</v>
      </c>
      <c r="O49" s="14">
        <f t="shared" si="12"/>
        <v>0.106659154462986</v>
      </c>
      <c r="P49" s="14" t="str">
        <f t="shared" si="3"/>
        <v>28.16,113.6</v>
      </c>
      <c r="Q49" s="14" t="str">
        <f t="shared" si="4"/>
        <v>117.43,15.19</v>
      </c>
      <c r="R49" s="31" t="str">
        <f t="shared" si="5"/>
        <v>28.16,113.6,15.19</v>
      </c>
    </row>
    <row r="50" ht="15.6" spans="1:18">
      <c r="A50" s="11">
        <v>42</v>
      </c>
      <c r="B50" s="12">
        <v>122</v>
      </c>
      <c r="C50" s="12">
        <f t="shared" si="0"/>
        <v>91.13</v>
      </c>
      <c r="D50" s="12">
        <v>129</v>
      </c>
      <c r="E50" s="13">
        <v>1.13</v>
      </c>
      <c r="F50" s="13">
        <v>8</v>
      </c>
      <c r="G50" s="14">
        <f t="shared" si="1"/>
        <v>4.5</v>
      </c>
      <c r="H50" s="14">
        <f t="shared" si="6"/>
        <v>120.425225836717</v>
      </c>
      <c r="I50" s="14">
        <f t="shared" si="7"/>
        <v>28.4224492876875</v>
      </c>
      <c r="J50" s="14">
        <f t="shared" si="8"/>
        <v>116.588732391513</v>
      </c>
      <c r="K50" s="14">
        <f t="shared" si="9"/>
        <v>15.2339854457054</v>
      </c>
      <c r="L50" s="14">
        <f t="shared" si="2"/>
        <v>16.7339854457054</v>
      </c>
      <c r="M50" s="14">
        <f t="shared" si="10"/>
        <v>-28.4224492876875</v>
      </c>
      <c r="N50" s="14">
        <f t="shared" si="11"/>
        <v>116.588732391513</v>
      </c>
      <c r="O50" s="14">
        <f t="shared" si="12"/>
        <v>0.341350991120709</v>
      </c>
      <c r="P50" s="14" t="str">
        <f t="shared" si="3"/>
        <v>28.42,116.59</v>
      </c>
      <c r="Q50" s="14" t="str">
        <f t="shared" si="4"/>
        <v>120.43,15.23</v>
      </c>
      <c r="R50" s="31" t="str">
        <f t="shared" si="5"/>
        <v>28.42,116.59,15.23</v>
      </c>
    </row>
    <row r="51" ht="15.6" spans="1:18">
      <c r="A51" s="11">
        <v>43</v>
      </c>
      <c r="B51" s="12">
        <v>125</v>
      </c>
      <c r="C51" s="12">
        <f t="shared" si="0"/>
        <v>90.66</v>
      </c>
      <c r="D51" s="12">
        <v>132</v>
      </c>
      <c r="E51" s="13">
        <v>0.66</v>
      </c>
      <c r="F51" s="13">
        <v>6.95</v>
      </c>
      <c r="G51" s="14">
        <f t="shared" si="1"/>
        <v>3.45</v>
      </c>
      <c r="H51" s="14">
        <f t="shared" si="6"/>
        <v>123.424859834906</v>
      </c>
      <c r="I51" s="14">
        <f t="shared" si="7"/>
        <v>28.6303875090682</v>
      </c>
      <c r="J51" s="14">
        <f t="shared" si="8"/>
        <v>119.581150447063</v>
      </c>
      <c r="K51" s="14">
        <f t="shared" si="9"/>
        <v>15.2808456303715</v>
      </c>
      <c r="L51" s="14">
        <f t="shared" si="2"/>
        <v>16.7808456303715</v>
      </c>
      <c r="M51" s="14">
        <f t="shared" si="10"/>
        <v>-28.6303875090682</v>
      </c>
      <c r="N51" s="14">
        <f t="shared" si="11"/>
        <v>119.581150447063</v>
      </c>
      <c r="O51" s="14">
        <f t="shared" si="12"/>
        <v>0.383423875137061</v>
      </c>
      <c r="P51" s="14" t="str">
        <f t="shared" si="3"/>
        <v>28.63,119.58</v>
      </c>
      <c r="Q51" s="14" t="str">
        <f t="shared" si="4"/>
        <v>123.42,15.28</v>
      </c>
      <c r="R51" s="31" t="str">
        <f t="shared" si="5"/>
        <v>28.63,119.58,15.28</v>
      </c>
    </row>
    <row r="52" ht="15.6" spans="1:18">
      <c r="A52" s="11">
        <v>44</v>
      </c>
      <c r="B52" s="12">
        <v>128</v>
      </c>
      <c r="C52" s="12">
        <f t="shared" si="0"/>
        <v>90.35</v>
      </c>
      <c r="D52" s="12">
        <v>135</v>
      </c>
      <c r="E52" s="13">
        <v>0.35</v>
      </c>
      <c r="F52" s="13">
        <v>6.29</v>
      </c>
      <c r="G52" s="14">
        <f t="shared" si="1"/>
        <v>2.79</v>
      </c>
      <c r="H52" s="14">
        <f t="shared" si="6"/>
        <v>126.424743308074</v>
      </c>
      <c r="I52" s="14">
        <f t="shared" si="7"/>
        <v>28.7936632610249</v>
      </c>
      <c r="J52" s="14">
        <f t="shared" si="8"/>
        <v>122.576587290231</v>
      </c>
      <c r="K52" s="14">
        <f t="shared" si="9"/>
        <v>15.3072870261859</v>
      </c>
      <c r="L52" s="14">
        <f t="shared" si="2"/>
        <v>16.8072870261859</v>
      </c>
      <c r="M52" s="14">
        <f t="shared" si="10"/>
        <v>-28.7936632610249</v>
      </c>
      <c r="N52" s="14">
        <f t="shared" si="11"/>
        <v>122.576587290231</v>
      </c>
      <c r="O52" s="14">
        <f t="shared" si="12"/>
        <v>0.243051228730313</v>
      </c>
      <c r="P52" s="14" t="str">
        <f t="shared" si="3"/>
        <v>28.79,122.58</v>
      </c>
      <c r="Q52" s="14" t="str">
        <f t="shared" si="4"/>
        <v>126.42,15.31</v>
      </c>
      <c r="R52" s="31" t="str">
        <f t="shared" si="5"/>
        <v>28.79,122.58,15.31</v>
      </c>
    </row>
    <row r="53" ht="15.6" spans="1:18">
      <c r="A53" s="11">
        <v>45</v>
      </c>
      <c r="B53" s="12">
        <v>131</v>
      </c>
      <c r="C53" s="12">
        <f t="shared" si="0"/>
        <v>89.35</v>
      </c>
      <c r="D53" s="12">
        <v>138</v>
      </c>
      <c r="E53" s="13">
        <v>-0.65</v>
      </c>
      <c r="F53" s="13">
        <v>5.88</v>
      </c>
      <c r="G53" s="14">
        <f t="shared" si="1"/>
        <v>2.38</v>
      </c>
      <c r="H53" s="14">
        <f t="shared" si="6"/>
        <v>129.424733027242</v>
      </c>
      <c r="I53" s="14">
        <f t="shared" si="7"/>
        <v>28.9289671674266</v>
      </c>
      <c r="J53" s="14">
        <f t="shared" si="8"/>
        <v>125.573524254537</v>
      </c>
      <c r="K53" s="14">
        <f t="shared" si="9"/>
        <v>15.2994330535236</v>
      </c>
      <c r="L53" s="14">
        <f t="shared" si="2"/>
        <v>16.7994330535236</v>
      </c>
      <c r="M53" s="14">
        <f t="shared" si="10"/>
        <v>-28.9289671674266</v>
      </c>
      <c r="N53" s="14">
        <f t="shared" si="11"/>
        <v>125.573524254537</v>
      </c>
      <c r="O53" s="14">
        <f t="shared" si="12"/>
        <v>0.360261414437307</v>
      </c>
      <c r="P53" s="14" t="str">
        <f t="shared" si="3"/>
        <v>28.93,125.57</v>
      </c>
      <c r="Q53" s="14" t="str">
        <f t="shared" si="4"/>
        <v>129.42,15.3</v>
      </c>
      <c r="R53" s="31" t="str">
        <f t="shared" si="5"/>
        <v>28.93,125.57,15.3</v>
      </c>
    </row>
    <row r="54" ht="15.6" spans="1:18">
      <c r="A54" s="11">
        <v>46</v>
      </c>
      <c r="B54" s="12">
        <v>134</v>
      </c>
      <c r="C54" s="12">
        <f t="shared" si="0"/>
        <v>89.65</v>
      </c>
      <c r="D54" s="12">
        <v>141</v>
      </c>
      <c r="E54" s="13">
        <v>-0.35</v>
      </c>
      <c r="F54" s="13">
        <v>4.74</v>
      </c>
      <c r="G54" s="14">
        <f t="shared" si="1"/>
        <v>1.24</v>
      </c>
      <c r="H54" s="14">
        <f t="shared" si="6"/>
        <v>132.424618796435</v>
      </c>
      <c r="I54" s="14">
        <f t="shared" si="7"/>
        <v>29.0237191756308</v>
      </c>
      <c r="J54" s="14">
        <f t="shared" si="8"/>
        <v>128.571913269516</v>
      </c>
      <c r="K54" s="14">
        <f t="shared" si="9"/>
        <v>15.2732534470285</v>
      </c>
      <c r="L54" s="14">
        <f t="shared" si="2"/>
        <v>16.7732534470285</v>
      </c>
      <c r="M54" s="14">
        <f t="shared" si="10"/>
        <v>-29.0237191756308</v>
      </c>
      <c r="N54" s="14">
        <f t="shared" si="11"/>
        <v>128.571913269516</v>
      </c>
      <c r="O54" s="14">
        <f t="shared" si="12"/>
        <v>0.392923240944357</v>
      </c>
      <c r="P54" s="14" t="str">
        <f t="shared" si="3"/>
        <v>29.02,128.57</v>
      </c>
      <c r="Q54" s="14" t="str">
        <f t="shared" si="4"/>
        <v>132.42,15.27</v>
      </c>
      <c r="R54" s="31" t="str">
        <f t="shared" si="5"/>
        <v>29.02,128.57,15.27</v>
      </c>
    </row>
    <row r="55" ht="15.6" spans="1:18">
      <c r="A55" s="11">
        <v>47</v>
      </c>
      <c r="B55" s="12">
        <v>137</v>
      </c>
      <c r="C55" s="12">
        <f t="shared" si="0"/>
        <v>88.35</v>
      </c>
      <c r="D55" s="12">
        <v>144</v>
      </c>
      <c r="E55" s="13">
        <v>-1.65</v>
      </c>
      <c r="F55" s="13">
        <v>4.84</v>
      </c>
      <c r="G55" s="14">
        <f t="shared" si="1"/>
        <v>1.34</v>
      </c>
      <c r="H55" s="14">
        <f t="shared" si="6"/>
        <v>135.424161881904</v>
      </c>
      <c r="I55" s="14">
        <f t="shared" si="7"/>
        <v>29.0912474248629</v>
      </c>
      <c r="J55" s="14">
        <f t="shared" si="8"/>
        <v>131.570696132136</v>
      </c>
      <c r="K55" s="14">
        <f t="shared" si="9"/>
        <v>15.2208962277167</v>
      </c>
      <c r="L55" s="14">
        <f t="shared" si="2"/>
        <v>16.7208962277167</v>
      </c>
      <c r="M55" s="14">
        <f t="shared" si="10"/>
        <v>-29.0912474248629</v>
      </c>
      <c r="N55" s="14">
        <f t="shared" si="11"/>
        <v>131.570696132136</v>
      </c>
      <c r="O55" s="14">
        <f t="shared" si="12"/>
        <v>0.434613049462314</v>
      </c>
      <c r="P55" s="14" t="str">
        <f t="shared" si="3"/>
        <v>29.09,131.57</v>
      </c>
      <c r="Q55" s="14" t="str">
        <f t="shared" si="4"/>
        <v>135.42,15.22</v>
      </c>
      <c r="R55" s="31" t="str">
        <f t="shared" si="5"/>
        <v>29.09,131.57,15.22</v>
      </c>
    </row>
    <row r="56" ht="15.6" spans="1:18">
      <c r="A56" s="11">
        <v>48</v>
      </c>
      <c r="B56" s="12">
        <v>140</v>
      </c>
      <c r="C56" s="12">
        <f t="shared" si="0"/>
        <v>89.65</v>
      </c>
      <c r="D56" s="12">
        <v>147</v>
      </c>
      <c r="E56" s="13">
        <v>-0.35</v>
      </c>
      <c r="F56" s="13">
        <v>4.84</v>
      </c>
      <c r="G56" s="14">
        <f t="shared" si="1"/>
        <v>1.34</v>
      </c>
      <c r="H56" s="14">
        <f t="shared" si="6"/>
        <v>138.423704967373</v>
      </c>
      <c r="I56" s="14">
        <f t="shared" si="7"/>
        <v>29.1613925797752</v>
      </c>
      <c r="J56" s="14">
        <f t="shared" si="8"/>
        <v>134.569418923397</v>
      </c>
      <c r="K56" s="14">
        <f t="shared" si="9"/>
        <v>15.1685390084048</v>
      </c>
      <c r="L56" s="14">
        <f t="shared" si="2"/>
        <v>16.6685390084048</v>
      </c>
      <c r="M56" s="14">
        <f t="shared" si="10"/>
        <v>-29.1613925797752</v>
      </c>
      <c r="N56" s="14">
        <f t="shared" si="11"/>
        <v>134.569418923397</v>
      </c>
      <c r="O56" s="14">
        <f t="shared" si="12"/>
        <v>0.433333333333313</v>
      </c>
      <c r="P56" s="14" t="str">
        <f t="shared" si="3"/>
        <v>29.16,134.57</v>
      </c>
      <c r="Q56" s="14" t="str">
        <f t="shared" si="4"/>
        <v>138.42,15.17</v>
      </c>
      <c r="R56" s="31" t="str">
        <f t="shared" si="5"/>
        <v>29.16,134.57,15.17</v>
      </c>
    </row>
    <row r="57" ht="15.6" spans="1:18">
      <c r="A57" s="11">
        <v>49</v>
      </c>
      <c r="B57" s="12">
        <v>143</v>
      </c>
      <c r="C57" s="12">
        <f t="shared" si="0"/>
        <v>90.33</v>
      </c>
      <c r="D57" s="12">
        <v>150</v>
      </c>
      <c r="E57" s="13">
        <v>0.33</v>
      </c>
      <c r="F57" s="13">
        <v>4.84</v>
      </c>
      <c r="G57" s="14">
        <f t="shared" si="1"/>
        <v>1.34</v>
      </c>
      <c r="H57" s="14">
        <f t="shared" si="6"/>
        <v>141.423704921681</v>
      </c>
      <c r="I57" s="14">
        <f t="shared" si="7"/>
        <v>29.2315484186933</v>
      </c>
      <c r="J57" s="14">
        <f t="shared" si="8"/>
        <v>137.568598458555</v>
      </c>
      <c r="K57" s="14">
        <f t="shared" si="9"/>
        <v>15.1680154096319</v>
      </c>
      <c r="L57" s="14">
        <f t="shared" si="2"/>
        <v>16.6680154096319</v>
      </c>
      <c r="M57" s="14">
        <f t="shared" si="10"/>
        <v>-29.2315484186933</v>
      </c>
      <c r="N57" s="14">
        <f t="shared" si="11"/>
        <v>137.568598458555</v>
      </c>
      <c r="O57" s="14">
        <f t="shared" si="12"/>
        <v>0.226666666666584</v>
      </c>
      <c r="P57" s="14" t="str">
        <f t="shared" si="3"/>
        <v>29.23,137.57</v>
      </c>
      <c r="Q57" s="14" t="str">
        <f t="shared" si="4"/>
        <v>141.42,15.17</v>
      </c>
      <c r="R57" s="31" t="str">
        <f t="shared" si="5"/>
        <v>29.23,137.57,15.17</v>
      </c>
    </row>
    <row r="58" ht="15.6" spans="1:18">
      <c r="A58" s="11">
        <v>50</v>
      </c>
      <c r="B58" s="12">
        <v>146</v>
      </c>
      <c r="C58" s="12">
        <f t="shared" si="0"/>
        <v>90.27</v>
      </c>
      <c r="D58" s="12">
        <v>153</v>
      </c>
      <c r="E58" s="13">
        <v>0.27</v>
      </c>
      <c r="F58" s="13">
        <v>4.92</v>
      </c>
      <c r="G58" s="14">
        <f t="shared" si="1"/>
        <v>1.42</v>
      </c>
      <c r="H58" s="14">
        <f t="shared" si="6"/>
        <v>144.423663798423</v>
      </c>
      <c r="I58" s="14">
        <f t="shared" si="7"/>
        <v>29.3037970733747</v>
      </c>
      <c r="J58" s="14">
        <f t="shared" si="8"/>
        <v>140.567687219169</v>
      </c>
      <c r="K58" s="14">
        <f t="shared" si="9"/>
        <v>15.1837233011261</v>
      </c>
      <c r="L58" s="14">
        <f t="shared" si="2"/>
        <v>16.6837233011261</v>
      </c>
      <c r="M58" s="14">
        <f t="shared" si="10"/>
        <v>-29.3037970733747</v>
      </c>
      <c r="N58" s="14">
        <f t="shared" si="11"/>
        <v>140.567687219169</v>
      </c>
      <c r="O58" s="14">
        <f t="shared" si="12"/>
        <v>0.0333330399257115</v>
      </c>
      <c r="P58" s="14" t="str">
        <f t="shared" si="3"/>
        <v>29.3,140.57</v>
      </c>
      <c r="Q58" s="14" t="str">
        <f t="shared" si="4"/>
        <v>144.42,15.18</v>
      </c>
      <c r="R58" s="31" t="str">
        <f t="shared" si="5"/>
        <v>29.3,140.57,15.18</v>
      </c>
    </row>
    <row r="59" ht="15.6" spans="1:18">
      <c r="A59" s="11">
        <v>51</v>
      </c>
      <c r="B59" s="12">
        <v>149</v>
      </c>
      <c r="C59" s="12">
        <f t="shared" si="0"/>
        <v>90.68</v>
      </c>
      <c r="D59" s="12">
        <v>156</v>
      </c>
      <c r="E59" s="13">
        <v>0.68</v>
      </c>
      <c r="F59" s="13">
        <v>4.76</v>
      </c>
      <c r="G59" s="14">
        <f t="shared" si="1"/>
        <v>1.26</v>
      </c>
      <c r="H59" s="14">
        <f t="shared" si="6"/>
        <v>147.423560705055</v>
      </c>
      <c r="I59" s="14">
        <f t="shared" si="7"/>
        <v>29.373950502494</v>
      </c>
      <c r="J59" s="14">
        <f t="shared" si="8"/>
        <v>143.566763734832</v>
      </c>
      <c r="K59" s="14">
        <f t="shared" si="9"/>
        <v>15.2085939580743</v>
      </c>
      <c r="L59" s="14">
        <f t="shared" si="2"/>
        <v>16.7085939580743</v>
      </c>
      <c r="M59" s="14">
        <f t="shared" si="10"/>
        <v>-29.373950502494</v>
      </c>
      <c r="N59" s="14">
        <f t="shared" si="11"/>
        <v>143.566763734832</v>
      </c>
      <c r="O59" s="14">
        <f t="shared" si="12"/>
        <v>0.146703832909575</v>
      </c>
      <c r="P59" s="14" t="str">
        <f t="shared" si="3"/>
        <v>29.37,143.57</v>
      </c>
      <c r="Q59" s="14" t="str">
        <f t="shared" si="4"/>
        <v>147.42,15.21</v>
      </c>
      <c r="R59" s="31" t="str">
        <f t="shared" si="5"/>
        <v>29.37,143.57,15.21</v>
      </c>
    </row>
    <row r="60" ht="15.6" spans="1:18">
      <c r="A60" s="11">
        <v>52</v>
      </c>
      <c r="B60" s="12">
        <v>152</v>
      </c>
      <c r="C60" s="12">
        <f t="shared" si="0"/>
        <v>90.36</v>
      </c>
      <c r="D60" s="12">
        <v>159</v>
      </c>
      <c r="E60" s="13">
        <v>0.36</v>
      </c>
      <c r="F60" s="13">
        <v>3.55</v>
      </c>
      <c r="G60" s="14">
        <f t="shared" si="1"/>
        <v>0.0499999999999998</v>
      </c>
      <c r="H60" s="14">
        <f t="shared" si="6"/>
        <v>150.423437153078</v>
      </c>
      <c r="I60" s="14">
        <f t="shared" si="7"/>
        <v>29.4082440628874</v>
      </c>
      <c r="J60" s="14">
        <f t="shared" si="8"/>
        <v>146.566444160331</v>
      </c>
      <c r="K60" s="14">
        <f t="shared" si="9"/>
        <v>15.2358207206303</v>
      </c>
      <c r="L60" s="14">
        <f t="shared" si="2"/>
        <v>16.7358207206303</v>
      </c>
      <c r="M60" s="14">
        <f t="shared" si="10"/>
        <v>-29.4082440628874</v>
      </c>
      <c r="N60" s="14">
        <f t="shared" si="11"/>
        <v>146.566444160331</v>
      </c>
      <c r="O60" s="14">
        <f t="shared" si="12"/>
        <v>0.417183092843859</v>
      </c>
      <c r="P60" s="14" t="str">
        <f t="shared" si="3"/>
        <v>29.41,146.57</v>
      </c>
      <c r="Q60" s="14" t="str">
        <f t="shared" si="4"/>
        <v>150.42,15.24</v>
      </c>
      <c r="R60" s="31" t="str">
        <f t="shared" si="5"/>
        <v>29.41,146.57,15.24</v>
      </c>
    </row>
    <row r="61" ht="15.6" spans="1:18">
      <c r="A61" s="11">
        <v>53</v>
      </c>
      <c r="B61" s="12">
        <v>155</v>
      </c>
      <c r="C61" s="12">
        <f t="shared" si="0"/>
        <v>90.68</v>
      </c>
      <c r="D61" s="12">
        <v>162</v>
      </c>
      <c r="E61" s="13">
        <v>0.68</v>
      </c>
      <c r="F61" s="13">
        <v>3.29</v>
      </c>
      <c r="G61" s="14">
        <f t="shared" si="1"/>
        <v>-0.21</v>
      </c>
      <c r="H61" s="14">
        <f t="shared" si="6"/>
        <v>153.423313601101</v>
      </c>
      <c r="I61" s="14">
        <f t="shared" si="7"/>
        <v>29.4040554465547</v>
      </c>
      <c r="J61" s="14">
        <f t="shared" si="8"/>
        <v>149.566317684147</v>
      </c>
      <c r="K61" s="14">
        <f t="shared" si="9"/>
        <v>15.2630474831863</v>
      </c>
      <c r="L61" s="14">
        <f t="shared" si="2"/>
        <v>16.7630474831863</v>
      </c>
      <c r="M61" s="14">
        <f t="shared" si="10"/>
        <v>-29.4040554465547</v>
      </c>
      <c r="N61" s="14">
        <f t="shared" si="11"/>
        <v>149.566317684147</v>
      </c>
      <c r="O61" s="14">
        <f t="shared" si="12"/>
        <v>0.137434532406639</v>
      </c>
      <c r="P61" s="14" t="str">
        <f t="shared" si="3"/>
        <v>29.4,149.57</v>
      </c>
      <c r="Q61" s="14" t="str">
        <f t="shared" si="4"/>
        <v>153.42,15.26</v>
      </c>
      <c r="R61" s="31" t="str">
        <f t="shared" si="5"/>
        <v>29.4,149.57,15.26</v>
      </c>
    </row>
    <row r="62" ht="15.6" spans="1:18">
      <c r="A62" s="11">
        <v>54</v>
      </c>
      <c r="B62" s="12">
        <v>158</v>
      </c>
      <c r="C62" s="12">
        <f t="shared" si="0"/>
        <v>90.11</v>
      </c>
      <c r="D62" s="12">
        <v>165</v>
      </c>
      <c r="E62" s="13">
        <v>0.11</v>
      </c>
      <c r="F62" s="13">
        <v>3.93</v>
      </c>
      <c r="G62" s="14">
        <f t="shared" si="1"/>
        <v>0.43</v>
      </c>
      <c r="H62" s="14">
        <f t="shared" si="6"/>
        <v>156.423242309484</v>
      </c>
      <c r="I62" s="14">
        <f t="shared" si="7"/>
        <v>29.4098148926781</v>
      </c>
      <c r="J62" s="14">
        <f t="shared" si="8"/>
        <v>152.566240863857</v>
      </c>
      <c r="K62" s="14">
        <f t="shared" si="9"/>
        <v>15.2837294709929</v>
      </c>
      <c r="L62" s="14">
        <f t="shared" si="2"/>
        <v>16.7837294709929</v>
      </c>
      <c r="M62" s="14">
        <f t="shared" si="10"/>
        <v>-29.4098148926781</v>
      </c>
      <c r="N62" s="14">
        <f t="shared" si="11"/>
        <v>152.566240863857</v>
      </c>
      <c r="O62" s="14">
        <f t="shared" si="12"/>
        <v>0.285672141944423</v>
      </c>
      <c r="P62" s="14" t="str">
        <f t="shared" si="3"/>
        <v>29.41,152.57</v>
      </c>
      <c r="Q62" s="14" t="str">
        <f t="shared" si="4"/>
        <v>156.42,15.28</v>
      </c>
      <c r="R62" s="31" t="str">
        <f t="shared" si="5"/>
        <v>29.41,152.57,15.28</v>
      </c>
    </row>
    <row r="63" ht="15.6" spans="1:18">
      <c r="A63" s="11">
        <v>55</v>
      </c>
      <c r="B63" s="12">
        <v>161</v>
      </c>
      <c r="C63" s="12">
        <f t="shared" si="0"/>
        <v>90.82</v>
      </c>
      <c r="D63" s="12">
        <v>168</v>
      </c>
      <c r="E63" s="13">
        <v>0.82</v>
      </c>
      <c r="F63" s="13">
        <v>3.77</v>
      </c>
      <c r="G63" s="14">
        <f t="shared" si="1"/>
        <v>0.27</v>
      </c>
      <c r="H63" s="14">
        <f t="shared" si="6"/>
        <v>159.423143511173</v>
      </c>
      <c r="I63" s="14">
        <f t="shared" si="7"/>
        <v>29.4281401323294</v>
      </c>
      <c r="J63" s="14">
        <f t="shared" si="8"/>
        <v>155.566086094113</v>
      </c>
      <c r="K63" s="14">
        <f t="shared" si="9"/>
        <v>15.3080765467824</v>
      </c>
      <c r="L63" s="14">
        <f t="shared" si="2"/>
        <v>16.8080765467824</v>
      </c>
      <c r="M63" s="14">
        <f t="shared" si="10"/>
        <v>-29.4281401323294</v>
      </c>
      <c r="N63" s="14">
        <f t="shared" si="11"/>
        <v>155.566086094113</v>
      </c>
      <c r="O63" s="14">
        <f t="shared" si="12"/>
        <v>0.242601178488081</v>
      </c>
      <c r="P63" s="14" t="str">
        <f t="shared" si="3"/>
        <v>29.43,155.57</v>
      </c>
      <c r="Q63" s="14" t="str">
        <f t="shared" si="4"/>
        <v>159.42,15.31</v>
      </c>
      <c r="R63" s="31" t="str">
        <f t="shared" si="5"/>
        <v>29.43,155.57,15.31</v>
      </c>
    </row>
    <row r="64" ht="15.6" spans="1:18">
      <c r="A64" s="11">
        <v>56</v>
      </c>
      <c r="B64" s="12">
        <v>164</v>
      </c>
      <c r="C64" s="12">
        <f t="shared" si="0"/>
        <v>91.25</v>
      </c>
      <c r="D64" s="12">
        <v>171</v>
      </c>
      <c r="E64" s="13">
        <v>1.25</v>
      </c>
      <c r="F64" s="13">
        <v>3.59</v>
      </c>
      <c r="G64" s="14">
        <f t="shared" si="1"/>
        <v>0.0899999999999999</v>
      </c>
      <c r="H64" s="14">
        <f t="shared" si="6"/>
        <v>162.42265405379</v>
      </c>
      <c r="I64" s="14">
        <f t="shared" si="7"/>
        <v>29.4375633571138</v>
      </c>
      <c r="J64" s="14">
        <f t="shared" si="8"/>
        <v>158.565581834751</v>
      </c>
      <c r="K64" s="14">
        <f t="shared" si="9"/>
        <v>15.362266072813</v>
      </c>
      <c r="L64" s="14">
        <f t="shared" si="2"/>
        <v>16.862266072813</v>
      </c>
      <c r="M64" s="14">
        <f t="shared" si="10"/>
        <v>-29.4375633571138</v>
      </c>
      <c r="N64" s="14">
        <f t="shared" si="11"/>
        <v>158.565581834751</v>
      </c>
      <c r="O64" s="14">
        <f t="shared" si="12"/>
        <v>0.155380992831518</v>
      </c>
      <c r="P64" s="14" t="str">
        <f t="shared" si="3"/>
        <v>29.44,158.57</v>
      </c>
      <c r="Q64" s="14" t="str">
        <f t="shared" si="4"/>
        <v>162.42,15.36</v>
      </c>
      <c r="R64" s="31" t="str">
        <f t="shared" si="5"/>
        <v>29.44,158.57,15.36</v>
      </c>
    </row>
    <row r="65" ht="15.6" spans="1:18">
      <c r="A65" s="11">
        <v>57</v>
      </c>
      <c r="B65" s="12">
        <v>167</v>
      </c>
      <c r="C65" s="12">
        <f t="shared" si="0"/>
        <v>91.68</v>
      </c>
      <c r="D65" s="12">
        <v>174</v>
      </c>
      <c r="E65" s="13">
        <v>1.68</v>
      </c>
      <c r="F65" s="13">
        <v>3.99</v>
      </c>
      <c r="G65" s="14">
        <f t="shared" si="1"/>
        <v>0.49</v>
      </c>
      <c r="H65" s="14">
        <f t="shared" si="6"/>
        <v>165.421673440934</v>
      </c>
      <c r="I65" s="14">
        <f t="shared" si="7"/>
        <v>29.4527426934668</v>
      </c>
      <c r="J65" s="14">
        <f t="shared" si="8"/>
        <v>161.56456280705</v>
      </c>
      <c r="K65" s="14">
        <f t="shared" si="9"/>
        <v>15.4389649354686</v>
      </c>
      <c r="L65" s="14">
        <f t="shared" si="2"/>
        <v>16.9389649354686</v>
      </c>
      <c r="M65" s="14">
        <f t="shared" si="10"/>
        <v>-29.4527426934668</v>
      </c>
      <c r="N65" s="14">
        <f t="shared" si="11"/>
        <v>161.56456280705</v>
      </c>
      <c r="O65" s="14">
        <f t="shared" si="12"/>
        <v>0.195730729433106</v>
      </c>
      <c r="P65" s="14" t="str">
        <f t="shared" si="3"/>
        <v>29.45,161.56</v>
      </c>
      <c r="Q65" s="14" t="str">
        <f t="shared" si="4"/>
        <v>165.42,15.44</v>
      </c>
      <c r="R65" s="31" t="str">
        <f t="shared" si="5"/>
        <v>29.45,161.56,15.44</v>
      </c>
    </row>
    <row r="66" ht="15.6" spans="1:18">
      <c r="A66" s="11">
        <v>58</v>
      </c>
      <c r="B66" s="12">
        <v>170</v>
      </c>
      <c r="C66" s="12">
        <f t="shared" si="0"/>
        <v>90.62</v>
      </c>
      <c r="D66" s="12">
        <v>177</v>
      </c>
      <c r="E66" s="13">
        <v>0.62</v>
      </c>
      <c r="F66" s="13">
        <v>4.11</v>
      </c>
      <c r="G66" s="14">
        <f t="shared" si="1"/>
        <v>0.61</v>
      </c>
      <c r="H66" s="14">
        <f t="shared" si="6"/>
        <v>168.421069176414</v>
      </c>
      <c r="I66" s="14">
        <f t="shared" si="7"/>
        <v>29.4815343834201</v>
      </c>
      <c r="J66" s="14">
        <f t="shared" si="8"/>
        <v>164.563820351278</v>
      </c>
      <c r="K66" s="14">
        <f t="shared" si="9"/>
        <v>15.4991747518194</v>
      </c>
      <c r="L66" s="14">
        <f t="shared" si="2"/>
        <v>16.9991747518194</v>
      </c>
      <c r="M66" s="14">
        <f t="shared" si="10"/>
        <v>-29.4815343834201</v>
      </c>
      <c r="N66" s="14">
        <f t="shared" si="11"/>
        <v>164.563820351278</v>
      </c>
      <c r="O66" s="14">
        <f t="shared" si="12"/>
        <v>0.355589305642614</v>
      </c>
      <c r="P66" s="14" t="str">
        <f t="shared" si="3"/>
        <v>29.48,164.56</v>
      </c>
      <c r="Q66" s="14" t="str">
        <f t="shared" si="4"/>
        <v>168.42,15.5</v>
      </c>
      <c r="R66" s="31" t="str">
        <f t="shared" si="5"/>
        <v>29.48,164.56,15.5</v>
      </c>
    </row>
    <row r="67" ht="15.6" spans="1:18">
      <c r="A67" s="11">
        <v>59</v>
      </c>
      <c r="B67" s="12">
        <v>173</v>
      </c>
      <c r="C67" s="12">
        <f t="shared" si="0"/>
        <v>90.42</v>
      </c>
      <c r="D67" s="12">
        <v>180</v>
      </c>
      <c r="E67" s="13">
        <v>0.42</v>
      </c>
      <c r="F67" s="13">
        <v>4.2</v>
      </c>
      <c r="G67" s="14">
        <f t="shared" si="1"/>
        <v>0.7</v>
      </c>
      <c r="H67" s="14">
        <f t="shared" si="6"/>
        <v>171.420945624437</v>
      </c>
      <c r="I67" s="14">
        <f t="shared" si="7"/>
        <v>29.5158279438135</v>
      </c>
      <c r="J67" s="14">
        <f t="shared" si="8"/>
        <v>167.563500776776</v>
      </c>
      <c r="K67" s="14">
        <f t="shared" si="9"/>
        <v>15.5264015143754</v>
      </c>
      <c r="L67" s="14">
        <f t="shared" si="2"/>
        <v>17.0264015143754</v>
      </c>
      <c r="M67" s="14">
        <f t="shared" si="10"/>
        <v>-29.5158279438135</v>
      </c>
      <c r="N67" s="14">
        <f t="shared" si="11"/>
        <v>167.563500776776</v>
      </c>
      <c r="O67" s="14">
        <f t="shared" si="12"/>
        <v>0.073105194075152</v>
      </c>
      <c r="P67" s="14" t="str">
        <f t="shared" si="3"/>
        <v>29.52,167.56</v>
      </c>
      <c r="Q67" s="14" t="str">
        <f t="shared" si="4"/>
        <v>171.42,15.53</v>
      </c>
      <c r="R67" s="31" t="str">
        <f t="shared" si="5"/>
        <v>29.52,167.56,15.53</v>
      </c>
    </row>
    <row r="68" ht="15.6" spans="1:18">
      <c r="A68" s="11">
        <v>60</v>
      </c>
      <c r="B68" s="12">
        <v>176</v>
      </c>
      <c r="C68" s="12">
        <f t="shared" si="0"/>
        <v>89.78</v>
      </c>
      <c r="D68" s="12">
        <v>183</v>
      </c>
      <c r="E68" s="13">
        <v>-0.22</v>
      </c>
      <c r="F68" s="13">
        <v>4.8</v>
      </c>
      <c r="G68" s="14">
        <f t="shared" si="1"/>
        <v>1.3</v>
      </c>
      <c r="H68" s="14">
        <f t="shared" si="6"/>
        <v>174.420941055177</v>
      </c>
      <c r="I68" s="14">
        <f t="shared" si="7"/>
        <v>29.5681850833807</v>
      </c>
      <c r="J68" s="14">
        <f t="shared" si="8"/>
        <v>170.563039293681</v>
      </c>
      <c r="K68" s="14">
        <f t="shared" si="9"/>
        <v>15.5316374994731</v>
      </c>
      <c r="L68" s="14">
        <f t="shared" si="2"/>
        <v>17.0316374994731</v>
      </c>
      <c r="M68" s="14">
        <f t="shared" si="10"/>
        <v>-29.5681850833807</v>
      </c>
      <c r="N68" s="14">
        <f t="shared" si="11"/>
        <v>170.563039293681</v>
      </c>
      <c r="O68" s="14">
        <f t="shared" si="12"/>
        <v>0.292421909840175</v>
      </c>
      <c r="P68" s="14" t="str">
        <f t="shared" si="3"/>
        <v>29.57,170.56</v>
      </c>
      <c r="Q68" s="14" t="str">
        <f t="shared" si="4"/>
        <v>174.42,15.53</v>
      </c>
      <c r="R68" s="31" t="str">
        <f t="shared" si="5"/>
        <v>29.57,170.56,15.53</v>
      </c>
    </row>
    <row r="69" ht="15.6" spans="1:18">
      <c r="A69" s="11">
        <v>61</v>
      </c>
      <c r="B69" s="12">
        <v>179</v>
      </c>
      <c r="C69" s="12">
        <f t="shared" si="0"/>
        <v>89.36</v>
      </c>
      <c r="D69" s="12">
        <v>186</v>
      </c>
      <c r="E69" s="13">
        <v>-0.64</v>
      </c>
      <c r="F69" s="13">
        <v>4.89</v>
      </c>
      <c r="G69" s="14">
        <f t="shared" si="1"/>
        <v>1.39</v>
      </c>
      <c r="H69" s="14">
        <f t="shared" si="6"/>
        <v>177.420856569932</v>
      </c>
      <c r="I69" s="14">
        <f t="shared" si="7"/>
        <v>29.6386006678107</v>
      </c>
      <c r="J69" s="14">
        <f t="shared" si="8"/>
        <v>173.562128278879</v>
      </c>
      <c r="K69" s="14">
        <f t="shared" si="9"/>
        <v>15.5091229634743</v>
      </c>
      <c r="L69" s="14">
        <f t="shared" si="2"/>
        <v>17.0091229634743</v>
      </c>
      <c r="M69" s="14">
        <f t="shared" si="10"/>
        <v>-29.6386006678108</v>
      </c>
      <c r="N69" s="14">
        <f t="shared" si="11"/>
        <v>173.562128278879</v>
      </c>
      <c r="O69" s="14">
        <f t="shared" si="12"/>
        <v>0.14317801953841</v>
      </c>
      <c r="P69" s="14" t="str">
        <f t="shared" si="3"/>
        <v>29.64,173.56</v>
      </c>
      <c r="Q69" s="14" t="str">
        <f t="shared" si="4"/>
        <v>177.42,15.51</v>
      </c>
      <c r="R69" s="31" t="str">
        <f t="shared" si="5"/>
        <v>29.64,173.56,15.51</v>
      </c>
    </row>
    <row r="70" ht="15.6" spans="1:18">
      <c r="A70" s="11">
        <v>62</v>
      </c>
      <c r="B70" s="12">
        <v>182</v>
      </c>
      <c r="C70" s="12">
        <f t="shared" si="0"/>
        <v>89.85</v>
      </c>
      <c r="D70" s="12">
        <v>189</v>
      </c>
      <c r="E70" s="13">
        <v>-0.15</v>
      </c>
      <c r="F70" s="13">
        <v>4.45</v>
      </c>
      <c r="G70" s="14">
        <f t="shared" si="1"/>
        <v>0.95</v>
      </c>
      <c r="H70" s="14">
        <f t="shared" si="6"/>
        <v>180.420785278315</v>
      </c>
      <c r="I70" s="14">
        <f t="shared" si="7"/>
        <v>29.6998560113964</v>
      </c>
      <c r="J70" s="14">
        <f t="shared" si="8"/>
        <v>176.561431537681</v>
      </c>
      <c r="K70" s="14">
        <f t="shared" si="9"/>
        <v>15.4884409756678</v>
      </c>
      <c r="L70" s="14">
        <f t="shared" si="2"/>
        <v>16.9884409756678</v>
      </c>
      <c r="M70" s="14">
        <f t="shared" si="10"/>
        <v>-29.6998560113964</v>
      </c>
      <c r="N70" s="14">
        <f t="shared" si="11"/>
        <v>176.561431537681</v>
      </c>
      <c r="O70" s="14">
        <f t="shared" si="12"/>
        <v>0.219517050364744</v>
      </c>
      <c r="P70" s="14" t="str">
        <f t="shared" si="3"/>
        <v>29.7,176.56</v>
      </c>
      <c r="Q70" s="14" t="str">
        <f t="shared" si="4"/>
        <v>180.42,15.49</v>
      </c>
      <c r="R70" s="31" t="str">
        <f t="shared" si="5"/>
        <v>29.7,176.56,15.49</v>
      </c>
    </row>
    <row r="71" ht="15.6" spans="1:18">
      <c r="A71" s="11">
        <v>63</v>
      </c>
      <c r="B71" s="12">
        <v>185</v>
      </c>
      <c r="C71" s="12">
        <f t="shared" si="0"/>
        <v>89.19</v>
      </c>
      <c r="D71" s="12">
        <v>192</v>
      </c>
      <c r="E71" s="13">
        <v>-0.81</v>
      </c>
      <c r="F71" s="13">
        <v>4.11</v>
      </c>
      <c r="G71" s="14">
        <f t="shared" si="1"/>
        <v>0.61</v>
      </c>
      <c r="H71" s="14">
        <f t="shared" si="6"/>
        <v>183.42068000315</v>
      </c>
      <c r="I71" s="14">
        <f t="shared" si="7"/>
        <v>29.7406940212823</v>
      </c>
      <c r="J71" s="14">
        <f t="shared" si="8"/>
        <v>179.561048282708</v>
      </c>
      <c r="K71" s="14">
        <f t="shared" si="9"/>
        <v>15.4633085284235</v>
      </c>
      <c r="L71" s="14">
        <f t="shared" si="2"/>
        <v>16.9633085284235</v>
      </c>
      <c r="M71" s="14">
        <f t="shared" si="10"/>
        <v>-29.7406940212823</v>
      </c>
      <c r="N71" s="14">
        <f t="shared" si="11"/>
        <v>179.561048282708</v>
      </c>
      <c r="O71" s="14">
        <f t="shared" si="12"/>
        <v>0.247474040943917</v>
      </c>
      <c r="P71" s="14" t="str">
        <f t="shared" si="3"/>
        <v>29.74,179.56</v>
      </c>
      <c r="Q71" s="14" t="str">
        <f t="shared" si="4"/>
        <v>183.42,15.46</v>
      </c>
      <c r="R71" s="31" t="str">
        <f t="shared" si="5"/>
        <v>29.74,179.56,15.46</v>
      </c>
    </row>
    <row r="72" ht="15.6" spans="1:18">
      <c r="A72" s="11">
        <v>64</v>
      </c>
      <c r="B72" s="12">
        <v>188</v>
      </c>
      <c r="C72" s="12">
        <f t="shared" si="0"/>
        <v>89.48</v>
      </c>
      <c r="D72" s="12">
        <v>195</v>
      </c>
      <c r="E72" s="13">
        <v>-0.52</v>
      </c>
      <c r="F72" s="13">
        <v>4.88</v>
      </c>
      <c r="G72" s="14">
        <f t="shared" si="1"/>
        <v>1.38</v>
      </c>
      <c r="H72" s="14">
        <f t="shared" si="6"/>
        <v>186.420477941261</v>
      </c>
      <c r="I72" s="14">
        <f t="shared" si="7"/>
        <v>29.792785972045</v>
      </c>
      <c r="J72" s="14">
        <f t="shared" si="8"/>
        <v>182.560393894364</v>
      </c>
      <c r="K72" s="14">
        <f t="shared" si="9"/>
        <v>15.4284899915894</v>
      </c>
      <c r="L72" s="14">
        <f t="shared" si="2"/>
        <v>16.9284899915894</v>
      </c>
      <c r="M72" s="14">
        <f t="shared" si="10"/>
        <v>-29.792785972045</v>
      </c>
      <c r="N72" s="14">
        <f t="shared" si="11"/>
        <v>182.560393894364</v>
      </c>
      <c r="O72" s="14">
        <f t="shared" si="12"/>
        <v>0.27425026426696</v>
      </c>
      <c r="P72" s="14" t="str">
        <f t="shared" si="3"/>
        <v>29.79,182.56</v>
      </c>
      <c r="Q72" s="14" t="str">
        <f t="shared" si="4"/>
        <v>186.42,15.43</v>
      </c>
      <c r="R72" s="31" t="str">
        <f t="shared" si="5"/>
        <v>29.79,182.56,15.43</v>
      </c>
    </row>
    <row r="73" ht="15.6" spans="1:18">
      <c r="A73" s="11">
        <v>65</v>
      </c>
      <c r="B73" s="12">
        <v>191</v>
      </c>
      <c r="C73" s="12">
        <f t="shared" ref="C73:C136" si="13">90+E73</f>
        <v>89.62</v>
      </c>
      <c r="D73" s="12">
        <v>198</v>
      </c>
      <c r="E73" s="13">
        <v>-0.38</v>
      </c>
      <c r="F73" s="13">
        <v>4.42</v>
      </c>
      <c r="G73" s="14">
        <f t="shared" ref="G73:G136" si="14">F73-3.5</f>
        <v>0.92</v>
      </c>
      <c r="H73" s="14">
        <f t="shared" si="6"/>
        <v>189.420385414195</v>
      </c>
      <c r="I73" s="14">
        <f t="shared" si="7"/>
        <v>29.8529939313832</v>
      </c>
      <c r="J73" s="14">
        <f t="shared" si="8"/>
        <v>185.559697121415</v>
      </c>
      <c r="K73" s="14">
        <f t="shared" si="9"/>
        <v>15.4049282889233</v>
      </c>
      <c r="L73" s="14">
        <f t="shared" ref="L73:L136" si="15">K73+$L$6</f>
        <v>16.9049282889233</v>
      </c>
      <c r="M73" s="14">
        <f t="shared" si="10"/>
        <v>-29.8529939313832</v>
      </c>
      <c r="N73" s="14">
        <f t="shared" si="11"/>
        <v>185.559697121415</v>
      </c>
      <c r="O73" s="14">
        <f t="shared" si="12"/>
        <v>0.160272976288059</v>
      </c>
      <c r="P73" s="14" t="str">
        <f t="shared" ref="P73:P136" si="16">ROUND(I73,2)*$N$6*1000&amp;","&amp;ROUND(J73,2)*$N$6*1000</f>
        <v>29.85,185.56</v>
      </c>
      <c r="Q73" s="14" t="str">
        <f t="shared" ref="Q73:Q136" si="17">ROUND(H73,2)*$N$6*1000&amp;","&amp;ROUND(K73,2)*$N$6*1000</f>
        <v>189.42,15.4</v>
      </c>
      <c r="R73" s="31" t="str">
        <f t="shared" ref="R73:R136" si="18">ROUND(I73,2)*$N$6*1000&amp;","&amp;ROUND(J73,2)*$N$6*1000&amp;","&amp;ROUND(K73,2)*$N$6*1000</f>
        <v>29.85,185.56,15.4</v>
      </c>
    </row>
    <row r="74" ht="15.6" spans="1:18">
      <c r="A74" s="11">
        <v>66</v>
      </c>
      <c r="B74" s="12">
        <v>194</v>
      </c>
      <c r="C74" s="12">
        <f t="shared" si="13"/>
        <v>90.41</v>
      </c>
      <c r="D74" s="12">
        <v>201</v>
      </c>
      <c r="E74" s="13">
        <v>0.41</v>
      </c>
      <c r="F74" s="13">
        <v>4.12</v>
      </c>
      <c r="G74" s="14">
        <f t="shared" si="14"/>
        <v>0.62</v>
      </c>
      <c r="H74" s="14">
        <f t="shared" ref="H74:H137" si="19">H73+(B74-B73)*COS(RADIANS((E74+E73)/2))</f>
        <v>192.420385311387</v>
      </c>
      <c r="I74" s="14">
        <f t="shared" ref="I74:I137" si="20">IF(ABS(G74-G73)&gt;270,I73+(B74-B73)*COS(RADIANS((E74+E73)/2))*SIN(RADIANS((G74+G73+360)/2)),I73+(B74-B73)*COS(RADIANS((E74+E73)/2))*SIN(RADIANS((G74+G73)/2)))</f>
        <v>29.8933098221372</v>
      </c>
      <c r="J74" s="14">
        <f t="shared" ref="J74:J137" si="21">IF(ABS(G74-G73)&gt;270,J73+(B74-B73)*COS(RADIANS((E74+E73)/2))*COS(RADIANS((G74+G73+360)/2)),J73+(B74-B73)*COS(RADIANS((E74+E73)/2))*COS(RADIANS((G74+G73)/2)))</f>
        <v>188.559426111191</v>
      </c>
      <c r="K74" s="14">
        <f t="shared" ref="K74:K137" si="22">K73+(B74-B73)*SIN(RADIANS((E74+E73)/2))</f>
        <v>15.4057136870777</v>
      </c>
      <c r="L74" s="14">
        <f t="shared" si="15"/>
        <v>16.9057136870777</v>
      </c>
      <c r="M74" s="14">
        <f t="shared" ref="M74:M137" si="23">IF(ABS(K74-K73)&gt;270,M73+(B74-B73)*COS(RADIANS((E74+E73)/2))*COS(RADIANS((G74+G73+360)/2-$J$6)),M73+(B74-B73)*COS(RADIANS((E74+E73)/2))*COS(RADIANS((G74+G73)/2-$J$6)))</f>
        <v>-29.8933098221372</v>
      </c>
      <c r="N74" s="14">
        <f t="shared" ref="N74:N137" si="24">IF(ABS(L74-L73)&gt;270,N73+(B74-B73)*COS(RADIANS((E74+E73)/2))*SIN(RADIANS((G74+G73+360)/2-$J$6)),N73+(B74-B73)*COS(RADIANS((E74+E73)/2))*SIN(RADIANS((G74+G73)/2-$J$6)))</f>
        <v>188.559426111191</v>
      </c>
      <c r="O74" s="14">
        <f t="shared" ref="O74:O137" si="25">IF(ABS(M74-M73)&gt;270,DEGREES(ACOS(SIN(RADIANS(E73))*SIN(RADIANS(E74))+COS(RADIANS(E73))*COS(RADIANS(E74))*COS(RADIANS(G74-G73-360))))/(B74-B73),DEGREES(ACOS(SIN(RADIANS(E73))*SIN(RADIANS(E74))+COS(RADIANS(E73))*COS(RADIANS(E74))*COS(RADIANS(G74-G73))))/(B74-B73))</f>
        <v>0.281681176744342</v>
      </c>
      <c r="P74" s="14" t="str">
        <f t="shared" si="16"/>
        <v>29.89,188.56</v>
      </c>
      <c r="Q74" s="14" t="str">
        <f t="shared" si="17"/>
        <v>192.42,15.41</v>
      </c>
      <c r="R74" s="31" t="str">
        <f t="shared" si="18"/>
        <v>29.89,188.56,15.41</v>
      </c>
    </row>
    <row r="75" ht="15.6" spans="1:18">
      <c r="A75" s="11">
        <v>67</v>
      </c>
      <c r="B75" s="12">
        <v>197</v>
      </c>
      <c r="C75" s="12">
        <f t="shared" si="13"/>
        <v>89.11</v>
      </c>
      <c r="D75" s="12">
        <v>204</v>
      </c>
      <c r="E75" s="13">
        <v>-0.89</v>
      </c>
      <c r="F75" s="13">
        <v>4.35</v>
      </c>
      <c r="G75" s="14">
        <f t="shared" si="14"/>
        <v>0.85</v>
      </c>
      <c r="H75" s="14">
        <f t="shared" si="19"/>
        <v>195.42035899248</v>
      </c>
      <c r="I75" s="14">
        <f t="shared" si="20"/>
        <v>29.9317929390239</v>
      </c>
      <c r="J75" s="14">
        <f t="shared" si="21"/>
        <v>191.559152954917</v>
      </c>
      <c r="K75" s="14">
        <f t="shared" si="22"/>
        <v>15.3931473532115</v>
      </c>
      <c r="L75" s="14">
        <f t="shared" si="15"/>
        <v>16.8931473532115</v>
      </c>
      <c r="M75" s="14">
        <f t="shared" si="23"/>
        <v>-29.9317929390239</v>
      </c>
      <c r="N75" s="14">
        <f t="shared" si="24"/>
        <v>191.559152954917</v>
      </c>
      <c r="O75" s="14">
        <f t="shared" si="25"/>
        <v>0.440062723092133</v>
      </c>
      <c r="P75" s="14" t="str">
        <f t="shared" si="16"/>
        <v>29.93,191.56</v>
      </c>
      <c r="Q75" s="14" t="str">
        <f t="shared" si="17"/>
        <v>195.42,15.39</v>
      </c>
      <c r="R75" s="31" t="str">
        <f t="shared" si="18"/>
        <v>29.93,191.56,15.39</v>
      </c>
    </row>
    <row r="76" ht="15.6" spans="1:18">
      <c r="A76" s="11">
        <v>68</v>
      </c>
      <c r="B76" s="12">
        <v>200</v>
      </c>
      <c r="C76" s="12">
        <f t="shared" si="13"/>
        <v>89.35</v>
      </c>
      <c r="D76" s="12">
        <v>207</v>
      </c>
      <c r="E76" s="13">
        <v>-0.65</v>
      </c>
      <c r="F76" s="13">
        <v>4.11</v>
      </c>
      <c r="G76" s="14">
        <f t="shared" si="14"/>
        <v>0.61</v>
      </c>
      <c r="H76" s="14">
        <f t="shared" si="19"/>
        <v>198.420088085055</v>
      </c>
      <c r="I76" s="14">
        <f t="shared" si="20"/>
        <v>29.9700111640196</v>
      </c>
      <c r="J76" s="14">
        <f t="shared" si="21"/>
        <v>194.558638576839</v>
      </c>
      <c r="K76" s="14">
        <f t="shared" si="22"/>
        <v>15.3528314610759</v>
      </c>
      <c r="L76" s="14">
        <f t="shared" si="15"/>
        <v>16.8528314610759</v>
      </c>
      <c r="M76" s="14">
        <f t="shared" si="23"/>
        <v>-29.9700111640196</v>
      </c>
      <c r="N76" s="14">
        <f t="shared" si="24"/>
        <v>194.558638576839</v>
      </c>
      <c r="O76" s="14">
        <f t="shared" si="25"/>
        <v>0.113131935445254</v>
      </c>
      <c r="P76" s="14" t="str">
        <f t="shared" si="16"/>
        <v>29.97,194.56</v>
      </c>
      <c r="Q76" s="14" t="str">
        <f t="shared" si="17"/>
        <v>198.42,15.35</v>
      </c>
      <c r="R76" s="31" t="str">
        <f t="shared" si="18"/>
        <v>29.97,194.56,15.35</v>
      </c>
    </row>
    <row r="77" ht="15.6" spans="1:18">
      <c r="A77" s="11">
        <v>69</v>
      </c>
      <c r="B77" s="12">
        <v>203</v>
      </c>
      <c r="C77" s="12">
        <f t="shared" si="13"/>
        <v>88.77</v>
      </c>
      <c r="D77" s="12">
        <v>210</v>
      </c>
      <c r="E77" s="13">
        <v>-1.23</v>
      </c>
      <c r="F77" s="13">
        <v>3.42</v>
      </c>
      <c r="G77" s="14">
        <f t="shared" si="14"/>
        <v>-0.0800000000000001</v>
      </c>
      <c r="H77" s="14">
        <f t="shared" si="19"/>
        <v>201.419684354183</v>
      </c>
      <c r="I77" s="14">
        <f t="shared" si="20"/>
        <v>29.9838846148052</v>
      </c>
      <c r="J77" s="14">
        <f t="shared" si="21"/>
        <v>197.558202762705</v>
      </c>
      <c r="K77" s="14">
        <f t="shared" si="22"/>
        <v>15.3036153840718</v>
      </c>
      <c r="L77" s="14">
        <f t="shared" si="15"/>
        <v>16.8036153840718</v>
      </c>
      <c r="M77" s="14">
        <f t="shared" si="23"/>
        <v>-29.9838846148052</v>
      </c>
      <c r="N77" s="14">
        <f t="shared" si="24"/>
        <v>197.558202762705</v>
      </c>
      <c r="O77" s="14">
        <f t="shared" si="25"/>
        <v>0.300438160592623</v>
      </c>
      <c r="P77" s="14" t="str">
        <f t="shared" si="16"/>
        <v>29.98,197.56</v>
      </c>
      <c r="Q77" s="14" t="str">
        <f t="shared" si="17"/>
        <v>201.42,15.3</v>
      </c>
      <c r="R77" s="31" t="str">
        <f t="shared" si="18"/>
        <v>29.98,197.56,15.3</v>
      </c>
    </row>
    <row r="78" ht="15.6" spans="1:18">
      <c r="A78" s="11">
        <v>70</v>
      </c>
      <c r="B78" s="12">
        <v>206</v>
      </c>
      <c r="C78" s="12">
        <f t="shared" si="13"/>
        <v>88.45</v>
      </c>
      <c r="D78" s="12">
        <v>213</v>
      </c>
      <c r="E78" s="13">
        <v>-1.55</v>
      </c>
      <c r="F78" s="13">
        <v>2.98</v>
      </c>
      <c r="G78" s="14">
        <f t="shared" si="14"/>
        <v>-0.52</v>
      </c>
      <c r="H78" s="14">
        <f t="shared" si="19"/>
        <v>204.418801570506</v>
      </c>
      <c r="I78" s="14">
        <f t="shared" si="20"/>
        <v>29.9681813455343</v>
      </c>
      <c r="J78" s="14">
        <f t="shared" si="21"/>
        <v>200.557278867871</v>
      </c>
      <c r="K78" s="14">
        <f t="shared" si="22"/>
        <v>15.2308422932036</v>
      </c>
      <c r="L78" s="14">
        <f t="shared" si="15"/>
        <v>16.7308422932036</v>
      </c>
      <c r="M78" s="14">
        <f t="shared" si="23"/>
        <v>-29.9681813455343</v>
      </c>
      <c r="N78" s="14">
        <f t="shared" si="24"/>
        <v>200.557278867871</v>
      </c>
      <c r="O78" s="14">
        <f t="shared" si="25"/>
        <v>0.181317883661872</v>
      </c>
      <c r="P78" s="14" t="str">
        <f t="shared" si="16"/>
        <v>29.97,200.56</v>
      </c>
      <c r="Q78" s="14" t="str">
        <f t="shared" si="17"/>
        <v>204.42,15.23</v>
      </c>
      <c r="R78" s="31" t="str">
        <f t="shared" si="18"/>
        <v>29.97,200.56,15.23</v>
      </c>
    </row>
    <row r="79" ht="15.6" spans="1:18">
      <c r="A79" s="11">
        <v>71</v>
      </c>
      <c r="B79" s="12">
        <v>209</v>
      </c>
      <c r="C79" s="12">
        <f t="shared" si="13"/>
        <v>87.35</v>
      </c>
      <c r="D79" s="12">
        <v>216</v>
      </c>
      <c r="E79" s="13">
        <v>-2.65</v>
      </c>
      <c r="F79" s="13">
        <v>2.55</v>
      </c>
      <c r="G79" s="14">
        <f t="shared" si="14"/>
        <v>-0.95</v>
      </c>
      <c r="H79" s="14">
        <f t="shared" si="19"/>
        <v>207.416786751842</v>
      </c>
      <c r="I79" s="14">
        <f t="shared" si="20"/>
        <v>29.9297237367609</v>
      </c>
      <c r="J79" s="14">
        <f t="shared" si="21"/>
        <v>203.555017375453</v>
      </c>
      <c r="K79" s="14">
        <f t="shared" si="22"/>
        <v>15.1209111670839</v>
      </c>
      <c r="L79" s="14">
        <f t="shared" si="15"/>
        <v>16.6209111670839</v>
      </c>
      <c r="M79" s="14">
        <f t="shared" si="23"/>
        <v>-29.9297237367609</v>
      </c>
      <c r="N79" s="14">
        <f t="shared" si="24"/>
        <v>203.555017375453</v>
      </c>
      <c r="O79" s="14">
        <f t="shared" si="25"/>
        <v>0.393650441050006</v>
      </c>
      <c r="P79" s="14" t="str">
        <f t="shared" si="16"/>
        <v>29.93,203.56</v>
      </c>
      <c r="Q79" s="14" t="str">
        <f t="shared" si="17"/>
        <v>207.42,15.12</v>
      </c>
      <c r="R79" s="31" t="str">
        <f t="shared" si="18"/>
        <v>29.93,203.56,15.12</v>
      </c>
    </row>
    <row r="80" ht="15.6" spans="1:18">
      <c r="A80" s="11">
        <v>72</v>
      </c>
      <c r="B80" s="12">
        <v>212</v>
      </c>
      <c r="C80" s="12">
        <f t="shared" si="13"/>
        <v>87.84</v>
      </c>
      <c r="D80" s="12">
        <v>219</v>
      </c>
      <c r="E80" s="13">
        <v>-2.16</v>
      </c>
      <c r="F80" s="13">
        <v>2.46</v>
      </c>
      <c r="G80" s="14">
        <f t="shared" si="14"/>
        <v>-1.04</v>
      </c>
      <c r="H80" s="14">
        <f t="shared" si="19"/>
        <v>210.414144267705</v>
      </c>
      <c r="I80" s="14">
        <f t="shared" si="20"/>
        <v>29.8776741643045</v>
      </c>
      <c r="J80" s="14">
        <f t="shared" si="21"/>
        <v>206.551922932841</v>
      </c>
      <c r="K80" s="14">
        <f t="shared" si="22"/>
        <v>14.9950226366297</v>
      </c>
      <c r="L80" s="14">
        <f t="shared" si="15"/>
        <v>16.4950226366297</v>
      </c>
      <c r="M80" s="14">
        <f t="shared" si="23"/>
        <v>-29.8776741643045</v>
      </c>
      <c r="N80" s="14">
        <f t="shared" si="24"/>
        <v>206.551922932841</v>
      </c>
      <c r="O80" s="14">
        <f t="shared" si="25"/>
        <v>0.166060794531983</v>
      </c>
      <c r="P80" s="14" t="str">
        <f t="shared" si="16"/>
        <v>29.88,206.55</v>
      </c>
      <c r="Q80" s="14" t="str">
        <f t="shared" si="17"/>
        <v>210.41,15</v>
      </c>
      <c r="R80" s="31" t="str">
        <f t="shared" si="18"/>
        <v>29.88,206.55,15</v>
      </c>
    </row>
    <row r="81" ht="15.6" spans="1:18">
      <c r="A81" s="11">
        <v>73</v>
      </c>
      <c r="B81" s="12">
        <v>215</v>
      </c>
      <c r="C81" s="12">
        <f t="shared" si="13"/>
        <v>88.18</v>
      </c>
      <c r="D81" s="12">
        <v>222</v>
      </c>
      <c r="E81" s="13">
        <v>-1.82</v>
      </c>
      <c r="F81" s="13">
        <v>3.14</v>
      </c>
      <c r="G81" s="14">
        <f t="shared" si="14"/>
        <v>-0.36</v>
      </c>
      <c r="H81" s="14">
        <f t="shared" si="19"/>
        <v>213.412334976431</v>
      </c>
      <c r="I81" s="14">
        <f t="shared" si="20"/>
        <v>29.8410452659117</v>
      </c>
      <c r="J81" s="14">
        <f t="shared" si="21"/>
        <v>209.549889885577</v>
      </c>
      <c r="K81" s="14">
        <f t="shared" si="22"/>
        <v>14.8908474279276</v>
      </c>
      <c r="L81" s="14">
        <f t="shared" si="15"/>
        <v>16.3908474279276</v>
      </c>
      <c r="M81" s="14">
        <f t="shared" si="23"/>
        <v>-29.8410452659117</v>
      </c>
      <c r="N81" s="14">
        <f t="shared" si="24"/>
        <v>209.549889885577</v>
      </c>
      <c r="O81" s="14">
        <f t="shared" si="25"/>
        <v>0.253298475075307</v>
      </c>
      <c r="P81" s="14" t="str">
        <f t="shared" si="16"/>
        <v>29.84,209.55</v>
      </c>
      <c r="Q81" s="14" t="str">
        <f t="shared" si="17"/>
        <v>213.41,14.89</v>
      </c>
      <c r="R81" s="31" t="str">
        <f t="shared" si="18"/>
        <v>29.84,209.55,14.89</v>
      </c>
    </row>
    <row r="82" ht="15.6" spans="1:18">
      <c r="A82" s="11">
        <v>74</v>
      </c>
      <c r="B82" s="12">
        <v>218</v>
      </c>
      <c r="C82" s="12">
        <f t="shared" si="13"/>
        <v>88.88</v>
      </c>
      <c r="D82" s="12">
        <v>225</v>
      </c>
      <c r="E82" s="13">
        <v>-1.12</v>
      </c>
      <c r="F82" s="13">
        <v>3.08</v>
      </c>
      <c r="G82" s="14">
        <f t="shared" si="14"/>
        <v>-0.42</v>
      </c>
      <c r="H82" s="14">
        <f t="shared" si="19"/>
        <v>216.411347658917</v>
      </c>
      <c r="I82" s="14">
        <f t="shared" si="20"/>
        <v>29.8206317917553</v>
      </c>
      <c r="J82" s="14">
        <f t="shared" si="21"/>
        <v>212.54883309274</v>
      </c>
      <c r="K82" s="14">
        <f t="shared" si="22"/>
        <v>14.8138868517512</v>
      </c>
      <c r="L82" s="14">
        <f t="shared" si="15"/>
        <v>16.3138868517512</v>
      </c>
      <c r="M82" s="14">
        <f t="shared" si="23"/>
        <v>-29.8206317917553</v>
      </c>
      <c r="N82" s="14">
        <f t="shared" si="24"/>
        <v>212.54883309274</v>
      </c>
      <c r="O82" s="14">
        <f t="shared" si="25"/>
        <v>0.234188334938049</v>
      </c>
      <c r="P82" s="14" t="str">
        <f t="shared" si="16"/>
        <v>29.82,212.55</v>
      </c>
      <c r="Q82" s="14" t="str">
        <f t="shared" si="17"/>
        <v>216.41,14.81</v>
      </c>
      <c r="R82" s="31" t="str">
        <f t="shared" si="18"/>
        <v>29.82,212.55,14.81</v>
      </c>
    </row>
    <row r="83" ht="15.6" spans="1:18">
      <c r="A83" s="11">
        <v>75</v>
      </c>
      <c r="B83" s="12">
        <v>221</v>
      </c>
      <c r="C83" s="12">
        <f t="shared" si="13"/>
        <v>89.62</v>
      </c>
      <c r="D83" s="12">
        <v>228</v>
      </c>
      <c r="E83" s="13">
        <v>-0.38</v>
      </c>
      <c r="F83" s="13">
        <v>2.55</v>
      </c>
      <c r="G83" s="14">
        <f t="shared" si="14"/>
        <v>-0.95</v>
      </c>
      <c r="H83" s="14">
        <f t="shared" si="19"/>
        <v>219.411090641639</v>
      </c>
      <c r="I83" s="14">
        <f t="shared" si="20"/>
        <v>29.7847692027437</v>
      </c>
      <c r="J83" s="14">
        <f t="shared" si="21"/>
        <v>215.54836169522</v>
      </c>
      <c r="K83" s="14">
        <f t="shared" si="22"/>
        <v>14.7746180650372</v>
      </c>
      <c r="L83" s="14">
        <f t="shared" si="15"/>
        <v>16.2746180650372</v>
      </c>
      <c r="M83" s="14">
        <f t="shared" si="23"/>
        <v>-29.7847692027437</v>
      </c>
      <c r="N83" s="14">
        <f t="shared" si="24"/>
        <v>215.54836169522</v>
      </c>
      <c r="O83" s="14">
        <f t="shared" si="25"/>
        <v>0.303397056472594</v>
      </c>
      <c r="P83" s="14" t="str">
        <f t="shared" si="16"/>
        <v>29.78,215.55</v>
      </c>
      <c r="Q83" s="14" t="str">
        <f t="shared" si="17"/>
        <v>219.41,14.77</v>
      </c>
      <c r="R83" s="31" t="str">
        <f t="shared" si="18"/>
        <v>29.78,215.55,14.77</v>
      </c>
    </row>
    <row r="84" ht="15.6" spans="1:18">
      <c r="A84" s="11">
        <v>76</v>
      </c>
      <c r="B84" s="12">
        <v>224</v>
      </c>
      <c r="C84" s="12">
        <f t="shared" si="13"/>
        <v>89.36</v>
      </c>
      <c r="D84" s="12">
        <v>231</v>
      </c>
      <c r="E84" s="13">
        <v>-0.64</v>
      </c>
      <c r="F84" s="13">
        <v>2.64</v>
      </c>
      <c r="G84" s="14">
        <f t="shared" si="14"/>
        <v>-0.86</v>
      </c>
      <c r="H84" s="14">
        <f t="shared" si="19"/>
        <v>222.410971795938</v>
      </c>
      <c r="I84" s="14">
        <f t="shared" si="20"/>
        <v>29.7373873610148</v>
      </c>
      <c r="J84" s="14">
        <f t="shared" si="21"/>
        <v>218.547868638201</v>
      </c>
      <c r="K84" s="14">
        <f t="shared" si="22"/>
        <v>14.7479148801049</v>
      </c>
      <c r="L84" s="14">
        <f t="shared" si="15"/>
        <v>16.2479148801049</v>
      </c>
      <c r="M84" s="14">
        <f t="shared" si="23"/>
        <v>-29.7373873610148</v>
      </c>
      <c r="N84" s="14">
        <f t="shared" si="24"/>
        <v>218.547868638201</v>
      </c>
      <c r="O84" s="14">
        <f t="shared" si="25"/>
        <v>0.0917117127769044</v>
      </c>
      <c r="P84" s="14" t="str">
        <f t="shared" si="16"/>
        <v>29.74,218.55</v>
      </c>
      <c r="Q84" s="14" t="str">
        <f t="shared" si="17"/>
        <v>222.41,14.75</v>
      </c>
      <c r="R84" s="31" t="str">
        <f t="shared" si="18"/>
        <v>29.74,218.55,14.75</v>
      </c>
    </row>
    <row r="85" ht="15.6" spans="1:18">
      <c r="A85" s="11">
        <v>77</v>
      </c>
      <c r="B85" s="12">
        <v>227</v>
      </c>
      <c r="C85" s="12">
        <f t="shared" si="13"/>
        <v>89.72</v>
      </c>
      <c r="D85" s="12">
        <v>234</v>
      </c>
      <c r="E85" s="13">
        <v>-0.28</v>
      </c>
      <c r="F85" s="13">
        <v>2.39</v>
      </c>
      <c r="G85" s="14">
        <f t="shared" si="14"/>
        <v>-1.11</v>
      </c>
      <c r="H85" s="14">
        <f t="shared" si="19"/>
        <v>225.410875110888</v>
      </c>
      <c r="I85" s="14">
        <f t="shared" si="20"/>
        <v>29.6858170841102</v>
      </c>
      <c r="J85" s="14">
        <f t="shared" si="21"/>
        <v>221.547328657203</v>
      </c>
      <c r="K85" s="14">
        <f t="shared" si="22"/>
        <v>14.7238295951737</v>
      </c>
      <c r="L85" s="14">
        <f t="shared" si="15"/>
        <v>16.2238295951737</v>
      </c>
      <c r="M85" s="14">
        <f t="shared" si="23"/>
        <v>-29.6858170841102</v>
      </c>
      <c r="N85" s="14">
        <f t="shared" si="24"/>
        <v>221.547328657203</v>
      </c>
      <c r="O85" s="14">
        <f t="shared" si="25"/>
        <v>0.146095769910528</v>
      </c>
      <c r="P85" s="14" t="str">
        <f t="shared" si="16"/>
        <v>29.69,221.55</v>
      </c>
      <c r="Q85" s="14" t="str">
        <f t="shared" si="17"/>
        <v>225.41,14.72</v>
      </c>
      <c r="R85" s="31" t="str">
        <f t="shared" si="18"/>
        <v>29.69,221.55,14.72</v>
      </c>
    </row>
    <row r="86" ht="15.6" spans="1:18">
      <c r="A86" s="11">
        <v>78</v>
      </c>
      <c r="B86" s="12">
        <v>230</v>
      </c>
      <c r="C86" s="12">
        <f t="shared" si="13"/>
        <v>86.89</v>
      </c>
      <c r="D86" s="12">
        <v>237</v>
      </c>
      <c r="E86" s="13">
        <v>-3.11</v>
      </c>
      <c r="F86" s="13">
        <v>2.99</v>
      </c>
      <c r="G86" s="14">
        <f t="shared" si="14"/>
        <v>-0.51</v>
      </c>
      <c r="H86" s="14">
        <f t="shared" si="19"/>
        <v>228.409562446433</v>
      </c>
      <c r="I86" s="14">
        <f t="shared" si="20"/>
        <v>29.6434255527345</v>
      </c>
      <c r="J86" s="14">
        <f t="shared" si="21"/>
        <v>224.545716339679</v>
      </c>
      <c r="K86" s="14">
        <f t="shared" si="22"/>
        <v>14.6350925474163</v>
      </c>
      <c r="L86" s="14">
        <f t="shared" si="15"/>
        <v>16.1350925474163</v>
      </c>
      <c r="M86" s="14">
        <f t="shared" si="23"/>
        <v>-29.6434255527345</v>
      </c>
      <c r="N86" s="14">
        <f t="shared" si="24"/>
        <v>224.545716339679</v>
      </c>
      <c r="O86" s="14">
        <f t="shared" si="25"/>
        <v>0.964279334001879</v>
      </c>
      <c r="P86" s="14" t="str">
        <f t="shared" si="16"/>
        <v>29.64,224.55</v>
      </c>
      <c r="Q86" s="14" t="str">
        <f t="shared" si="17"/>
        <v>228.41,14.64</v>
      </c>
      <c r="R86" s="31" t="str">
        <f t="shared" si="18"/>
        <v>29.64,224.55,14.64</v>
      </c>
    </row>
    <row r="87" ht="15.6" spans="1:18">
      <c r="A87" s="11">
        <v>79</v>
      </c>
      <c r="B87" s="12">
        <v>233</v>
      </c>
      <c r="C87" s="12">
        <f t="shared" si="13"/>
        <v>89.75</v>
      </c>
      <c r="D87" s="12">
        <v>240</v>
      </c>
      <c r="E87" s="13">
        <v>-0.25</v>
      </c>
      <c r="F87" s="13">
        <v>3.15</v>
      </c>
      <c r="G87" s="14">
        <f t="shared" si="14"/>
        <v>-0.35</v>
      </c>
      <c r="H87" s="14">
        <f t="shared" si="19"/>
        <v>231.408272910518</v>
      </c>
      <c r="I87" s="14">
        <f t="shared" si="20"/>
        <v>29.6209206945033</v>
      </c>
      <c r="J87" s="14">
        <f t="shared" si="21"/>
        <v>227.544342354835</v>
      </c>
      <c r="K87" s="14">
        <f t="shared" si="22"/>
        <v>14.5471405571997</v>
      </c>
      <c r="L87" s="14">
        <f t="shared" si="15"/>
        <v>16.0471405571997</v>
      </c>
      <c r="M87" s="14">
        <f t="shared" si="23"/>
        <v>-29.6209206945033</v>
      </c>
      <c r="N87" s="14">
        <f t="shared" si="24"/>
        <v>227.544342354835</v>
      </c>
      <c r="O87" s="14">
        <f t="shared" si="25"/>
        <v>0.954822419310256</v>
      </c>
      <c r="P87" s="14" t="str">
        <f t="shared" si="16"/>
        <v>29.62,227.54</v>
      </c>
      <c r="Q87" s="14" t="str">
        <f t="shared" si="17"/>
        <v>231.41,14.55</v>
      </c>
      <c r="R87" s="31" t="str">
        <f t="shared" si="18"/>
        <v>29.62,227.54,14.55</v>
      </c>
    </row>
    <row r="88" ht="15.6" spans="1:18">
      <c r="A88" s="11">
        <v>80</v>
      </c>
      <c r="B88" s="12">
        <v>236</v>
      </c>
      <c r="C88" s="12">
        <f t="shared" si="13"/>
        <v>89.32</v>
      </c>
      <c r="D88" s="12">
        <v>243</v>
      </c>
      <c r="E88" s="13">
        <v>-0.68</v>
      </c>
      <c r="F88" s="13">
        <v>3.57</v>
      </c>
      <c r="G88" s="14">
        <f t="shared" si="14"/>
        <v>0.0699999999999998</v>
      </c>
      <c r="H88" s="14">
        <f t="shared" si="19"/>
        <v>234.408174112208</v>
      </c>
      <c r="I88" s="14">
        <f t="shared" si="20"/>
        <v>29.6135905603489</v>
      </c>
      <c r="J88" s="14">
        <f t="shared" si="21"/>
        <v>230.544234601072</v>
      </c>
      <c r="K88" s="14">
        <f t="shared" si="22"/>
        <v>14.5227934814101</v>
      </c>
      <c r="L88" s="14">
        <f t="shared" si="15"/>
        <v>16.0227934814101</v>
      </c>
      <c r="M88" s="14">
        <f t="shared" si="23"/>
        <v>-29.6135905603489</v>
      </c>
      <c r="N88" s="14">
        <f t="shared" si="24"/>
        <v>230.544234601072</v>
      </c>
      <c r="O88" s="14">
        <f t="shared" si="25"/>
        <v>0.200357334498865</v>
      </c>
      <c r="P88" s="14" t="str">
        <f t="shared" si="16"/>
        <v>29.61,230.54</v>
      </c>
      <c r="Q88" s="14" t="str">
        <f t="shared" si="17"/>
        <v>234.41,14.52</v>
      </c>
      <c r="R88" s="31" t="str">
        <f t="shared" si="18"/>
        <v>29.61,230.54,14.52</v>
      </c>
    </row>
    <row r="89" ht="15.6" spans="1:18">
      <c r="A89" s="11">
        <v>81</v>
      </c>
      <c r="B89" s="12">
        <v>239</v>
      </c>
      <c r="C89" s="12">
        <f t="shared" si="13"/>
        <v>89.76</v>
      </c>
      <c r="D89" s="12">
        <v>246</v>
      </c>
      <c r="E89" s="13">
        <v>-0.24</v>
      </c>
      <c r="F89" s="13">
        <v>3.22</v>
      </c>
      <c r="G89" s="14">
        <f t="shared" si="14"/>
        <v>-0.28</v>
      </c>
      <c r="H89" s="14">
        <f t="shared" si="19"/>
        <v>237.408077427158</v>
      </c>
      <c r="I89" s="14">
        <f t="shared" si="20"/>
        <v>29.6080929534669</v>
      </c>
      <c r="J89" s="14">
        <f t="shared" si="21"/>
        <v>233.544132878576</v>
      </c>
      <c r="K89" s="14">
        <f t="shared" si="22"/>
        <v>14.4987081964789</v>
      </c>
      <c r="L89" s="14">
        <f t="shared" si="15"/>
        <v>15.9987081964789</v>
      </c>
      <c r="M89" s="14">
        <f t="shared" si="23"/>
        <v>-29.6080929534669</v>
      </c>
      <c r="N89" s="14">
        <f t="shared" si="24"/>
        <v>233.544132878576</v>
      </c>
      <c r="O89" s="14">
        <f t="shared" si="25"/>
        <v>0.187406718144824</v>
      </c>
      <c r="P89" s="14" t="str">
        <f t="shared" si="16"/>
        <v>29.61,233.54</v>
      </c>
      <c r="Q89" s="14" t="str">
        <f t="shared" si="17"/>
        <v>237.41,14.5</v>
      </c>
      <c r="R89" s="31" t="str">
        <f t="shared" si="18"/>
        <v>29.61,233.54,14.5</v>
      </c>
    </row>
    <row r="90" ht="15.6" spans="1:18">
      <c r="A90" s="11">
        <v>82</v>
      </c>
      <c r="B90" s="12">
        <v>242</v>
      </c>
      <c r="C90" s="12">
        <f t="shared" si="13"/>
        <v>88.65</v>
      </c>
      <c r="D90" s="12">
        <v>249</v>
      </c>
      <c r="E90" s="13">
        <v>-1.35</v>
      </c>
      <c r="F90" s="13">
        <v>2.68</v>
      </c>
      <c r="G90" s="14">
        <f t="shared" si="14"/>
        <v>-0.82</v>
      </c>
      <c r="H90" s="14">
        <f t="shared" si="19"/>
        <v>240.407788643055</v>
      </c>
      <c r="I90" s="14">
        <f t="shared" si="20"/>
        <v>29.5792982351655</v>
      </c>
      <c r="J90" s="14">
        <f t="shared" si="21"/>
        <v>236.543705888684</v>
      </c>
      <c r="K90" s="14">
        <f t="shared" si="22"/>
        <v>14.4570834294893</v>
      </c>
      <c r="L90" s="14">
        <f t="shared" si="15"/>
        <v>15.9570834294893</v>
      </c>
      <c r="M90" s="14">
        <f t="shared" si="23"/>
        <v>-29.5792982351655</v>
      </c>
      <c r="N90" s="14">
        <f t="shared" si="24"/>
        <v>236.543705888684</v>
      </c>
      <c r="O90" s="14">
        <f t="shared" si="25"/>
        <v>0.411452000551464</v>
      </c>
      <c r="P90" s="14" t="str">
        <f t="shared" si="16"/>
        <v>29.58,236.54</v>
      </c>
      <c r="Q90" s="14" t="str">
        <f t="shared" si="17"/>
        <v>240.41,14.46</v>
      </c>
      <c r="R90" s="31" t="str">
        <f t="shared" si="18"/>
        <v>29.58,236.54,14.46</v>
      </c>
    </row>
    <row r="91" ht="15.6" spans="1:18">
      <c r="A91" s="11">
        <v>83</v>
      </c>
      <c r="B91" s="12">
        <v>245</v>
      </c>
      <c r="C91" s="12">
        <f t="shared" si="13"/>
        <v>88.75</v>
      </c>
      <c r="D91" s="12">
        <v>252</v>
      </c>
      <c r="E91" s="13">
        <v>-1.25</v>
      </c>
      <c r="F91" s="13">
        <v>2.59</v>
      </c>
      <c r="G91" s="14">
        <f t="shared" si="14"/>
        <v>-0.91</v>
      </c>
      <c r="H91" s="14">
        <f t="shared" si="19"/>
        <v>243.407016471023</v>
      </c>
      <c r="I91" s="14">
        <f t="shared" si="20"/>
        <v>29.5340203186539</v>
      </c>
      <c r="J91" s="14">
        <f t="shared" si="21"/>
        <v>239.542591927588</v>
      </c>
      <c r="K91" s="14">
        <f t="shared" si="22"/>
        <v>14.3890214287709</v>
      </c>
      <c r="L91" s="14">
        <f t="shared" si="15"/>
        <v>15.8890214287709</v>
      </c>
      <c r="M91" s="14">
        <f t="shared" si="23"/>
        <v>-29.5340203186539</v>
      </c>
      <c r="N91" s="14">
        <f t="shared" si="24"/>
        <v>239.542591927588</v>
      </c>
      <c r="O91" s="14">
        <f t="shared" si="25"/>
        <v>0.0448402457475404</v>
      </c>
      <c r="P91" s="14" t="str">
        <f t="shared" si="16"/>
        <v>29.53,239.54</v>
      </c>
      <c r="Q91" s="14" t="str">
        <f t="shared" si="17"/>
        <v>243.41,14.39</v>
      </c>
      <c r="R91" s="31" t="str">
        <f t="shared" si="18"/>
        <v>29.53,239.54,14.39</v>
      </c>
    </row>
    <row r="92" ht="15.6" spans="1:18">
      <c r="A92" s="11">
        <v>84</v>
      </c>
      <c r="B92" s="12">
        <v>248</v>
      </c>
      <c r="C92" s="12">
        <f t="shared" si="13"/>
        <v>89.32</v>
      </c>
      <c r="D92" s="12">
        <v>255</v>
      </c>
      <c r="E92" s="13">
        <v>-0.68</v>
      </c>
      <c r="F92" s="13">
        <v>2.36</v>
      </c>
      <c r="G92" s="14">
        <f t="shared" si="14"/>
        <v>-1.14</v>
      </c>
      <c r="H92" s="14">
        <f t="shared" si="19"/>
        <v>246.406590980046</v>
      </c>
      <c r="I92" s="14">
        <f t="shared" si="20"/>
        <v>29.4803619182631</v>
      </c>
      <c r="J92" s="14">
        <f t="shared" si="21"/>
        <v>242.541686459484</v>
      </c>
      <c r="K92" s="14">
        <f t="shared" si="22"/>
        <v>14.3384965357152</v>
      </c>
      <c r="L92" s="14">
        <f t="shared" si="15"/>
        <v>15.8384965357152</v>
      </c>
      <c r="M92" s="14">
        <f t="shared" si="23"/>
        <v>-29.4803619182631</v>
      </c>
      <c r="N92" s="14">
        <f t="shared" si="24"/>
        <v>242.541686459484</v>
      </c>
      <c r="O92" s="14">
        <f t="shared" si="25"/>
        <v>0.204880604486391</v>
      </c>
      <c r="P92" s="14" t="str">
        <f t="shared" si="16"/>
        <v>29.48,242.54</v>
      </c>
      <c r="Q92" s="14" t="str">
        <f t="shared" si="17"/>
        <v>246.41,14.34</v>
      </c>
      <c r="R92" s="31" t="str">
        <f t="shared" si="18"/>
        <v>29.48,242.54,14.34</v>
      </c>
    </row>
    <row r="93" ht="15.6" spans="1:18">
      <c r="A93" s="11">
        <v>85</v>
      </c>
      <c r="B93" s="12">
        <v>251</v>
      </c>
      <c r="C93" s="12">
        <f t="shared" si="13"/>
        <v>90.14</v>
      </c>
      <c r="D93" s="12">
        <v>258</v>
      </c>
      <c r="E93" s="13">
        <v>0.14</v>
      </c>
      <c r="F93" s="13">
        <v>3.02</v>
      </c>
      <c r="G93" s="14">
        <f t="shared" si="14"/>
        <v>-0.48</v>
      </c>
      <c r="H93" s="14">
        <f t="shared" si="19"/>
        <v>249.406557670193</v>
      </c>
      <c r="I93" s="14">
        <f t="shared" si="20"/>
        <v>29.4379523010403</v>
      </c>
      <c r="J93" s="14">
        <f t="shared" si="21"/>
        <v>245.541353368719</v>
      </c>
      <c r="K93" s="14">
        <f t="shared" si="22"/>
        <v>14.3243594210971</v>
      </c>
      <c r="L93" s="14">
        <f t="shared" si="15"/>
        <v>15.8243594210971</v>
      </c>
      <c r="M93" s="14">
        <f t="shared" si="23"/>
        <v>-29.4379523010403</v>
      </c>
      <c r="N93" s="14">
        <f t="shared" si="24"/>
        <v>245.541353368719</v>
      </c>
      <c r="O93" s="14">
        <f t="shared" si="25"/>
        <v>0.350869220849308</v>
      </c>
      <c r="P93" s="14" t="str">
        <f t="shared" si="16"/>
        <v>29.44,245.54</v>
      </c>
      <c r="Q93" s="14" t="str">
        <f t="shared" si="17"/>
        <v>249.41,14.32</v>
      </c>
      <c r="R93" s="31" t="str">
        <f t="shared" si="18"/>
        <v>29.44,245.54,14.32</v>
      </c>
    </row>
    <row r="94" ht="15.6" spans="1:18">
      <c r="A94" s="11">
        <v>86</v>
      </c>
      <c r="B94" s="12">
        <v>254</v>
      </c>
      <c r="C94" s="12">
        <f t="shared" si="13"/>
        <v>90.68</v>
      </c>
      <c r="D94" s="12">
        <v>261</v>
      </c>
      <c r="E94" s="13">
        <v>0.68</v>
      </c>
      <c r="F94" s="13">
        <v>3.68</v>
      </c>
      <c r="G94" s="14">
        <f t="shared" si="14"/>
        <v>0.18</v>
      </c>
      <c r="H94" s="14">
        <f t="shared" si="19"/>
        <v>252.406480861238</v>
      </c>
      <c r="I94" s="14">
        <f t="shared" si="20"/>
        <v>29.4300985294632</v>
      </c>
      <c r="J94" s="14">
        <f t="shared" si="21"/>
        <v>248.541266279196</v>
      </c>
      <c r="K94" s="14">
        <f t="shared" si="22"/>
        <v>14.3458267876852</v>
      </c>
      <c r="L94" s="14">
        <f t="shared" si="15"/>
        <v>15.8458267876852</v>
      </c>
      <c r="M94" s="14">
        <f t="shared" si="23"/>
        <v>-29.4300985294632</v>
      </c>
      <c r="N94" s="14">
        <f t="shared" si="24"/>
        <v>248.541266279196</v>
      </c>
      <c r="O94" s="14">
        <f t="shared" si="25"/>
        <v>0.284248418343419</v>
      </c>
      <c r="P94" s="14" t="str">
        <f t="shared" si="16"/>
        <v>29.43,248.54</v>
      </c>
      <c r="Q94" s="14" t="str">
        <f t="shared" si="17"/>
        <v>252.41,14.35</v>
      </c>
      <c r="R94" s="31" t="str">
        <f t="shared" si="18"/>
        <v>29.43,248.54,14.35</v>
      </c>
    </row>
    <row r="95" ht="15.6" spans="1:18">
      <c r="A95" s="11">
        <v>87</v>
      </c>
      <c r="B95" s="12">
        <v>257</v>
      </c>
      <c r="C95" s="12">
        <f t="shared" si="13"/>
        <v>90.28</v>
      </c>
      <c r="D95" s="12">
        <v>264</v>
      </c>
      <c r="E95" s="13">
        <v>0.28</v>
      </c>
      <c r="F95" s="13">
        <v>3.97</v>
      </c>
      <c r="G95" s="14">
        <f t="shared" si="14"/>
        <v>0.47</v>
      </c>
      <c r="H95" s="14">
        <f t="shared" si="19"/>
        <v>255.406375586073</v>
      </c>
      <c r="I95" s="14">
        <f t="shared" si="20"/>
        <v>29.447114801265</v>
      </c>
      <c r="J95" s="14">
        <f t="shared" si="21"/>
        <v>251.541112743032</v>
      </c>
      <c r="K95" s="14">
        <f t="shared" si="22"/>
        <v>14.3709592349295</v>
      </c>
      <c r="L95" s="14">
        <f t="shared" si="15"/>
        <v>15.8709592349295</v>
      </c>
      <c r="M95" s="14">
        <f t="shared" si="23"/>
        <v>-29.447114801265</v>
      </c>
      <c r="N95" s="14">
        <f t="shared" si="24"/>
        <v>251.541112743032</v>
      </c>
      <c r="O95" s="14">
        <f t="shared" si="25"/>
        <v>0.164686151356565</v>
      </c>
      <c r="P95" s="14" t="str">
        <f t="shared" si="16"/>
        <v>29.45,251.54</v>
      </c>
      <c r="Q95" s="14" t="str">
        <f t="shared" si="17"/>
        <v>255.41,14.37</v>
      </c>
      <c r="R95" s="31" t="str">
        <f t="shared" si="18"/>
        <v>29.45,251.54,14.37</v>
      </c>
    </row>
    <row r="96" ht="15.6" spans="1:18">
      <c r="A96" s="11">
        <v>88</v>
      </c>
      <c r="B96" s="12">
        <v>260</v>
      </c>
      <c r="C96" s="12">
        <f t="shared" si="13"/>
        <v>90.38</v>
      </c>
      <c r="D96" s="12">
        <v>267</v>
      </c>
      <c r="E96" s="13">
        <v>0.38</v>
      </c>
      <c r="F96" s="13">
        <v>4.12</v>
      </c>
      <c r="G96" s="14">
        <f t="shared" si="14"/>
        <v>0.62</v>
      </c>
      <c r="H96" s="14">
        <f t="shared" si="19"/>
        <v>258.406325826955</v>
      </c>
      <c r="I96" s="14">
        <f t="shared" si="20"/>
        <v>29.4756500309131</v>
      </c>
      <c r="J96" s="14">
        <f t="shared" si="21"/>
        <v>254.540927268704</v>
      </c>
      <c r="K96" s="14">
        <f t="shared" si="22"/>
        <v>14.3882378989935</v>
      </c>
      <c r="L96" s="14">
        <f t="shared" si="15"/>
        <v>15.8882378989935</v>
      </c>
      <c r="M96" s="14">
        <f t="shared" si="23"/>
        <v>-29.4756500309131</v>
      </c>
      <c r="N96" s="14">
        <f t="shared" si="24"/>
        <v>254.540927268704</v>
      </c>
      <c r="O96" s="14">
        <f t="shared" si="25"/>
        <v>0.0600918259431965</v>
      </c>
      <c r="P96" s="14" t="str">
        <f t="shared" si="16"/>
        <v>29.48,254.54</v>
      </c>
      <c r="Q96" s="14" t="str">
        <f t="shared" si="17"/>
        <v>258.41,14.39</v>
      </c>
      <c r="R96" s="31" t="str">
        <f t="shared" si="18"/>
        <v>29.48,254.54,14.39</v>
      </c>
    </row>
    <row r="97" ht="15.6" spans="1:18">
      <c r="A97" s="11">
        <v>89</v>
      </c>
      <c r="B97" s="12">
        <v>263</v>
      </c>
      <c r="C97" s="12">
        <f t="shared" si="13"/>
        <v>90.92</v>
      </c>
      <c r="D97" s="12">
        <v>270</v>
      </c>
      <c r="E97" s="13">
        <v>0.92</v>
      </c>
      <c r="F97" s="13">
        <v>4.33</v>
      </c>
      <c r="G97" s="14">
        <f t="shared" si="14"/>
        <v>0.83</v>
      </c>
      <c r="H97" s="14">
        <f t="shared" si="19"/>
        <v>261.406132777736</v>
      </c>
      <c r="I97" s="14">
        <f t="shared" si="20"/>
        <v>29.513607486427</v>
      </c>
      <c r="J97" s="14">
        <f t="shared" si="21"/>
        <v>257.540494066347</v>
      </c>
      <c r="K97" s="14">
        <f t="shared" si="22"/>
        <v>14.4222710893796</v>
      </c>
      <c r="L97" s="14">
        <f t="shared" si="15"/>
        <v>15.9222710893796</v>
      </c>
      <c r="M97" s="14">
        <f t="shared" si="23"/>
        <v>-29.513607486427</v>
      </c>
      <c r="N97" s="14">
        <f t="shared" si="24"/>
        <v>257.540494066347</v>
      </c>
      <c r="O97" s="14">
        <f t="shared" si="25"/>
        <v>0.193130352642762</v>
      </c>
      <c r="P97" s="14" t="str">
        <f t="shared" si="16"/>
        <v>29.51,257.54</v>
      </c>
      <c r="Q97" s="14" t="str">
        <f t="shared" si="17"/>
        <v>261.41,14.42</v>
      </c>
      <c r="R97" s="31" t="str">
        <f t="shared" si="18"/>
        <v>29.51,257.54,14.42</v>
      </c>
    </row>
    <row r="98" ht="15.6" spans="1:18">
      <c r="A98" s="11">
        <v>90</v>
      </c>
      <c r="B98" s="12">
        <v>266</v>
      </c>
      <c r="C98" s="12">
        <f t="shared" si="13"/>
        <v>91.22</v>
      </c>
      <c r="D98" s="12">
        <v>273</v>
      </c>
      <c r="E98" s="13">
        <v>1.22</v>
      </c>
      <c r="F98" s="13">
        <v>4.21</v>
      </c>
      <c r="G98" s="14">
        <f t="shared" si="14"/>
        <v>0.71</v>
      </c>
      <c r="H98" s="14">
        <f t="shared" si="19"/>
        <v>264.405609658214</v>
      </c>
      <c r="I98" s="14">
        <f t="shared" si="20"/>
        <v>29.5539163485525</v>
      </c>
      <c r="J98" s="14">
        <f t="shared" si="21"/>
        <v>260.539700086639</v>
      </c>
      <c r="K98" s="14">
        <f t="shared" si="22"/>
        <v>14.4782929019077</v>
      </c>
      <c r="L98" s="14">
        <f t="shared" si="15"/>
        <v>15.9782929019077</v>
      </c>
      <c r="M98" s="14">
        <f t="shared" si="23"/>
        <v>-29.5539163485525</v>
      </c>
      <c r="N98" s="14">
        <f t="shared" si="24"/>
        <v>260.539700086639</v>
      </c>
      <c r="O98" s="14">
        <f t="shared" si="25"/>
        <v>0.10770068893142</v>
      </c>
      <c r="P98" s="14" t="str">
        <f t="shared" si="16"/>
        <v>29.55,260.54</v>
      </c>
      <c r="Q98" s="14" t="str">
        <f t="shared" si="17"/>
        <v>264.41,14.48</v>
      </c>
      <c r="R98" s="31" t="str">
        <f t="shared" si="18"/>
        <v>29.55,260.54,14.48</v>
      </c>
    </row>
    <row r="99" ht="15.6" spans="1:18">
      <c r="A99" s="11">
        <v>91</v>
      </c>
      <c r="B99" s="12">
        <v>269</v>
      </c>
      <c r="C99" s="12">
        <f t="shared" si="13"/>
        <v>91.68</v>
      </c>
      <c r="D99" s="12">
        <v>276</v>
      </c>
      <c r="E99" s="13">
        <v>1.68</v>
      </c>
      <c r="F99" s="13">
        <v>4.65</v>
      </c>
      <c r="G99" s="14">
        <f t="shared" si="14"/>
        <v>1.15</v>
      </c>
      <c r="H99" s="14">
        <f t="shared" si="19"/>
        <v>267.404649022299</v>
      </c>
      <c r="I99" s="14">
        <f t="shared" si="20"/>
        <v>29.6025933045616</v>
      </c>
      <c r="J99" s="14">
        <f t="shared" si="21"/>
        <v>263.538344390534</v>
      </c>
      <c r="K99" s="14">
        <f t="shared" si="22"/>
        <v>14.5542066205043</v>
      </c>
      <c r="L99" s="14">
        <f t="shared" si="15"/>
        <v>16.0542066205043</v>
      </c>
      <c r="M99" s="14">
        <f t="shared" si="23"/>
        <v>-29.6025933045616</v>
      </c>
      <c r="N99" s="14">
        <f t="shared" si="24"/>
        <v>263.538344390534</v>
      </c>
      <c r="O99" s="14">
        <f t="shared" si="25"/>
        <v>0.212151673187368</v>
      </c>
      <c r="P99" s="14" t="str">
        <f t="shared" si="16"/>
        <v>29.6,263.54</v>
      </c>
      <c r="Q99" s="14" t="str">
        <f t="shared" si="17"/>
        <v>267.4,14.55</v>
      </c>
      <c r="R99" s="31" t="str">
        <f t="shared" si="18"/>
        <v>29.6,263.54,14.55</v>
      </c>
    </row>
    <row r="100" ht="15.6" spans="1:18">
      <c r="A100" s="11">
        <v>92</v>
      </c>
      <c r="B100" s="12">
        <v>272</v>
      </c>
      <c r="C100" s="12">
        <f t="shared" si="13"/>
        <v>91.09</v>
      </c>
      <c r="D100" s="12">
        <v>279</v>
      </c>
      <c r="E100" s="13">
        <v>1.09</v>
      </c>
      <c r="F100" s="13">
        <v>4.08</v>
      </c>
      <c r="G100" s="14">
        <f t="shared" si="14"/>
        <v>0.58</v>
      </c>
      <c r="H100" s="14">
        <f t="shared" si="19"/>
        <v>270.403772577852</v>
      </c>
      <c r="I100" s="14">
        <f t="shared" si="20"/>
        <v>29.6478696469222</v>
      </c>
      <c r="J100" s="14">
        <f t="shared" si="21"/>
        <v>266.537126168907</v>
      </c>
      <c r="K100" s="14">
        <f t="shared" si="22"/>
        <v>14.6267179887454</v>
      </c>
      <c r="L100" s="14">
        <f t="shared" si="15"/>
        <v>16.1267179887454</v>
      </c>
      <c r="M100" s="14">
        <f t="shared" si="23"/>
        <v>-29.6478696469222</v>
      </c>
      <c r="N100" s="14">
        <f t="shared" si="24"/>
        <v>266.537126168907</v>
      </c>
      <c r="O100" s="14">
        <f t="shared" si="25"/>
        <v>0.273416108192711</v>
      </c>
      <c r="P100" s="14" t="str">
        <f t="shared" si="16"/>
        <v>29.65,266.54</v>
      </c>
      <c r="Q100" s="14" t="str">
        <f t="shared" si="17"/>
        <v>270.4,14.63</v>
      </c>
      <c r="R100" s="31" t="str">
        <f t="shared" si="18"/>
        <v>29.65,266.54,14.63</v>
      </c>
    </row>
    <row r="101" ht="15.6" spans="1:18">
      <c r="A101" s="11">
        <v>93</v>
      </c>
      <c r="B101" s="12">
        <v>275</v>
      </c>
      <c r="C101" s="12">
        <f t="shared" si="13"/>
        <v>90.24</v>
      </c>
      <c r="D101" s="12">
        <v>282</v>
      </c>
      <c r="E101" s="13">
        <v>0.24</v>
      </c>
      <c r="F101" s="13">
        <v>4.84</v>
      </c>
      <c r="G101" s="14">
        <f t="shared" si="14"/>
        <v>1.34</v>
      </c>
      <c r="H101" s="14">
        <f t="shared" si="19"/>
        <v>273.403570515963</v>
      </c>
      <c r="I101" s="14">
        <f t="shared" si="20"/>
        <v>29.6981293921081</v>
      </c>
      <c r="J101" s="14">
        <f t="shared" si="21"/>
        <v>269.53650304211</v>
      </c>
      <c r="K101" s="14">
        <f t="shared" si="22"/>
        <v>14.6615365255795</v>
      </c>
      <c r="L101" s="14">
        <f t="shared" si="15"/>
        <v>16.1615365255795</v>
      </c>
      <c r="M101" s="14">
        <f t="shared" si="23"/>
        <v>-29.6981293921081</v>
      </c>
      <c r="N101" s="14">
        <f t="shared" si="24"/>
        <v>269.53650304211</v>
      </c>
      <c r="O101" s="14">
        <f t="shared" si="25"/>
        <v>0.380060170350442</v>
      </c>
      <c r="P101" s="14" t="str">
        <f t="shared" si="16"/>
        <v>29.7,269.54</v>
      </c>
      <c r="Q101" s="14" t="str">
        <f t="shared" si="17"/>
        <v>273.4,14.66</v>
      </c>
      <c r="R101" s="31" t="str">
        <f t="shared" si="18"/>
        <v>29.7,269.54,14.66</v>
      </c>
    </row>
    <row r="102" ht="15.6" spans="1:18">
      <c r="A102" s="11">
        <v>94</v>
      </c>
      <c r="B102" s="12">
        <v>278</v>
      </c>
      <c r="C102" s="12">
        <f t="shared" si="13"/>
        <v>88.48</v>
      </c>
      <c r="D102" s="12">
        <v>285</v>
      </c>
      <c r="E102" s="13">
        <v>-1.52</v>
      </c>
      <c r="F102" s="13">
        <v>4.61</v>
      </c>
      <c r="G102" s="14">
        <f t="shared" si="14"/>
        <v>1.11</v>
      </c>
      <c r="H102" s="14">
        <f t="shared" si="19"/>
        <v>276.403383360966</v>
      </c>
      <c r="I102" s="14">
        <f t="shared" si="20"/>
        <v>29.7622613544682</v>
      </c>
      <c r="J102" s="14">
        <f t="shared" si="21"/>
        <v>272.535630281233</v>
      </c>
      <c r="K102" s="14">
        <f t="shared" si="22"/>
        <v>14.6280269007912</v>
      </c>
      <c r="L102" s="14">
        <f t="shared" si="15"/>
        <v>16.1280269007912</v>
      </c>
      <c r="M102" s="14">
        <f t="shared" si="23"/>
        <v>-29.7622613544682</v>
      </c>
      <c r="N102" s="14">
        <f t="shared" si="24"/>
        <v>272.535630281233</v>
      </c>
      <c r="O102" s="14">
        <f t="shared" si="25"/>
        <v>0.591653919029966</v>
      </c>
      <c r="P102" s="14" t="str">
        <f t="shared" si="16"/>
        <v>29.76,272.54</v>
      </c>
      <c r="Q102" s="14" t="str">
        <f t="shared" si="17"/>
        <v>276.4,14.63</v>
      </c>
      <c r="R102" s="31" t="str">
        <f t="shared" si="18"/>
        <v>29.76,272.54,14.63</v>
      </c>
    </row>
    <row r="103" ht="15.6" spans="1:18">
      <c r="A103" s="11">
        <v>95</v>
      </c>
      <c r="B103" s="12">
        <v>281</v>
      </c>
      <c r="C103" s="12">
        <f t="shared" si="13"/>
        <v>90.35</v>
      </c>
      <c r="D103" s="12">
        <v>288</v>
      </c>
      <c r="E103" s="13">
        <v>0.35</v>
      </c>
      <c r="F103" s="13">
        <v>4.11</v>
      </c>
      <c r="G103" s="14">
        <f t="shared" si="14"/>
        <v>0.61</v>
      </c>
      <c r="H103" s="14">
        <f t="shared" si="19"/>
        <v>279.40322699078</v>
      </c>
      <c r="I103" s="14">
        <f t="shared" si="20"/>
        <v>29.8072868113664</v>
      </c>
      <c r="J103" s="14">
        <f t="shared" si="21"/>
        <v>275.535135992441</v>
      </c>
      <c r="K103" s="14">
        <f t="shared" si="22"/>
        <v>14.5973969046096</v>
      </c>
      <c r="L103" s="14">
        <f t="shared" si="15"/>
        <v>16.0973969046096</v>
      </c>
      <c r="M103" s="14">
        <f t="shared" si="23"/>
        <v>-29.8072868113664</v>
      </c>
      <c r="N103" s="14">
        <f t="shared" si="24"/>
        <v>275.535135992441</v>
      </c>
      <c r="O103" s="14">
        <f t="shared" si="25"/>
        <v>0.645226208546068</v>
      </c>
      <c r="P103" s="14" t="str">
        <f t="shared" si="16"/>
        <v>29.81,275.54</v>
      </c>
      <c r="Q103" s="14" t="str">
        <f t="shared" si="17"/>
        <v>279.4,14.6</v>
      </c>
      <c r="R103" s="31" t="str">
        <f t="shared" si="18"/>
        <v>29.81,275.54,14.6</v>
      </c>
    </row>
    <row r="104" ht="15.6" spans="1:18">
      <c r="A104" s="11">
        <v>96</v>
      </c>
      <c r="B104" s="12">
        <v>284</v>
      </c>
      <c r="C104" s="12">
        <f t="shared" si="13"/>
        <v>90.36</v>
      </c>
      <c r="D104" s="12">
        <v>291</v>
      </c>
      <c r="E104" s="13">
        <v>0.36</v>
      </c>
      <c r="F104" s="13">
        <v>4.31</v>
      </c>
      <c r="G104" s="14">
        <f t="shared" si="14"/>
        <v>0.81</v>
      </c>
      <c r="H104" s="14">
        <f t="shared" si="19"/>
        <v>282.403169406848</v>
      </c>
      <c r="I104" s="14">
        <f t="shared" si="20"/>
        <v>29.844460659458</v>
      </c>
      <c r="J104" s="14">
        <f t="shared" si="21"/>
        <v>278.534848079416</v>
      </c>
      <c r="K104" s="14">
        <f t="shared" si="22"/>
        <v>14.6159845422147</v>
      </c>
      <c r="L104" s="14">
        <f t="shared" si="15"/>
        <v>16.1159845422147</v>
      </c>
      <c r="M104" s="14">
        <f t="shared" si="23"/>
        <v>-29.844460659458</v>
      </c>
      <c r="N104" s="14">
        <f t="shared" si="24"/>
        <v>278.534848079416</v>
      </c>
      <c r="O104" s="14">
        <f t="shared" si="25"/>
        <v>0.0667486698488944</v>
      </c>
      <c r="P104" s="14" t="str">
        <f t="shared" si="16"/>
        <v>29.84,278.53</v>
      </c>
      <c r="Q104" s="14" t="str">
        <f t="shared" si="17"/>
        <v>282.4,14.62</v>
      </c>
      <c r="R104" s="31" t="str">
        <f t="shared" si="18"/>
        <v>29.84,278.53,14.62</v>
      </c>
    </row>
    <row r="105" ht="15.6" spans="1:18">
      <c r="A105" s="11">
        <v>97</v>
      </c>
      <c r="B105" s="12">
        <v>287</v>
      </c>
      <c r="C105" s="12">
        <f t="shared" si="13"/>
        <v>91.52</v>
      </c>
      <c r="D105" s="12">
        <v>294</v>
      </c>
      <c r="E105" s="13">
        <v>1.52</v>
      </c>
      <c r="F105" s="13">
        <v>4.86</v>
      </c>
      <c r="G105" s="14">
        <f t="shared" si="14"/>
        <v>1.36</v>
      </c>
      <c r="H105" s="14">
        <f t="shared" si="19"/>
        <v>285.402765675976</v>
      </c>
      <c r="I105" s="14">
        <f t="shared" si="20"/>
        <v>29.9012600863455</v>
      </c>
      <c r="J105" s="14">
        <f t="shared" si="21"/>
        <v>281.533906532142</v>
      </c>
      <c r="K105" s="14">
        <f t="shared" si="22"/>
        <v>14.6652006192188</v>
      </c>
      <c r="L105" s="14">
        <f t="shared" si="15"/>
        <v>16.1652006192188</v>
      </c>
      <c r="M105" s="14">
        <f t="shared" si="23"/>
        <v>-29.9012600863455</v>
      </c>
      <c r="N105" s="14">
        <f t="shared" si="24"/>
        <v>281.533906532142</v>
      </c>
      <c r="O105" s="14">
        <f t="shared" si="25"/>
        <v>0.427915911706081</v>
      </c>
      <c r="P105" s="14" t="str">
        <f t="shared" si="16"/>
        <v>29.9,281.53</v>
      </c>
      <c r="Q105" s="14" t="str">
        <f t="shared" si="17"/>
        <v>285.4,14.67</v>
      </c>
      <c r="R105" s="31" t="str">
        <f t="shared" si="18"/>
        <v>29.9,281.53,14.67</v>
      </c>
    </row>
    <row r="106" ht="15.6" spans="1:18">
      <c r="A106" s="11">
        <v>98</v>
      </c>
      <c r="B106" s="12">
        <v>290</v>
      </c>
      <c r="C106" s="12">
        <f t="shared" si="13"/>
        <v>91.86</v>
      </c>
      <c r="D106" s="12">
        <v>297</v>
      </c>
      <c r="E106" s="13">
        <v>1.86</v>
      </c>
      <c r="F106" s="13">
        <v>4.16</v>
      </c>
      <c r="G106" s="14">
        <f t="shared" si="14"/>
        <v>0.66</v>
      </c>
      <c r="H106" s="14">
        <f t="shared" si="19"/>
        <v>288.401460743871</v>
      </c>
      <c r="I106" s="14">
        <f t="shared" si="20"/>
        <v>29.9541178219621</v>
      </c>
      <c r="J106" s="14">
        <f t="shared" si="21"/>
        <v>284.532135704504</v>
      </c>
      <c r="K106" s="14">
        <f t="shared" si="22"/>
        <v>14.7536759818024</v>
      </c>
      <c r="L106" s="14">
        <f t="shared" si="15"/>
        <v>16.2536759818024</v>
      </c>
      <c r="M106" s="14">
        <f t="shared" si="23"/>
        <v>-29.9541178219621</v>
      </c>
      <c r="N106" s="14">
        <f t="shared" si="24"/>
        <v>284.532135704504</v>
      </c>
      <c r="O106" s="14">
        <f t="shared" si="25"/>
        <v>0.25930941817574</v>
      </c>
      <c r="P106" s="14" t="str">
        <f t="shared" si="16"/>
        <v>29.95,284.53</v>
      </c>
      <c r="Q106" s="14" t="str">
        <f t="shared" si="17"/>
        <v>288.4,14.75</v>
      </c>
      <c r="R106" s="31" t="str">
        <f t="shared" si="18"/>
        <v>29.95,284.53,14.75</v>
      </c>
    </row>
    <row r="107" ht="15.6" spans="1:18">
      <c r="A107" s="11">
        <v>99</v>
      </c>
      <c r="B107" s="12">
        <v>293</v>
      </c>
      <c r="C107" s="12">
        <f t="shared" si="13"/>
        <v>91.49</v>
      </c>
      <c r="D107" s="12">
        <v>300</v>
      </c>
      <c r="E107" s="13">
        <v>1.49</v>
      </c>
      <c r="F107" s="13">
        <v>4.35</v>
      </c>
      <c r="G107" s="14">
        <f t="shared" si="14"/>
        <v>0.85</v>
      </c>
      <c r="H107" s="14">
        <f t="shared" si="19"/>
        <v>291.400178871797</v>
      </c>
      <c r="I107" s="14">
        <f t="shared" si="20"/>
        <v>29.9936314944433</v>
      </c>
      <c r="J107" s="14">
        <f t="shared" si="21"/>
        <v>287.530593488173</v>
      </c>
      <c r="K107" s="14">
        <f t="shared" si="22"/>
        <v>14.8413662848299</v>
      </c>
      <c r="L107" s="14">
        <f t="shared" si="15"/>
        <v>16.3413662848299</v>
      </c>
      <c r="M107" s="14">
        <f t="shared" si="23"/>
        <v>-29.9936314944433</v>
      </c>
      <c r="N107" s="14">
        <f t="shared" si="24"/>
        <v>287.530593488173</v>
      </c>
      <c r="O107" s="14">
        <f t="shared" si="25"/>
        <v>0.138631818740779</v>
      </c>
      <c r="P107" s="14" t="str">
        <f t="shared" si="16"/>
        <v>29.99,287.53</v>
      </c>
      <c r="Q107" s="14" t="str">
        <f t="shared" si="17"/>
        <v>291.4,14.84</v>
      </c>
      <c r="R107" s="31" t="str">
        <f t="shared" si="18"/>
        <v>29.99,287.53,14.84</v>
      </c>
    </row>
    <row r="108" ht="15.6" spans="1:18">
      <c r="A108" s="11">
        <v>100</v>
      </c>
      <c r="B108" s="12">
        <v>296</v>
      </c>
      <c r="C108" s="12">
        <f t="shared" si="13"/>
        <v>91.38</v>
      </c>
      <c r="D108" s="12">
        <v>303</v>
      </c>
      <c r="E108" s="13">
        <v>1.38</v>
      </c>
      <c r="F108" s="13">
        <v>4.25</v>
      </c>
      <c r="G108" s="14">
        <f t="shared" si="14"/>
        <v>0.75</v>
      </c>
      <c r="H108" s="14">
        <f t="shared" si="19"/>
        <v>294.399238007271</v>
      </c>
      <c r="I108" s="14">
        <f t="shared" si="20"/>
        <v>30.0355048989406</v>
      </c>
      <c r="J108" s="14">
        <f t="shared" si="21"/>
        <v>290.529360287386</v>
      </c>
      <c r="K108" s="14">
        <f t="shared" si="22"/>
        <v>14.9164948541645</v>
      </c>
      <c r="L108" s="14">
        <f t="shared" si="15"/>
        <v>16.4164948541645</v>
      </c>
      <c r="M108" s="14">
        <f t="shared" si="23"/>
        <v>-30.0355048989406</v>
      </c>
      <c r="N108" s="14">
        <f t="shared" si="24"/>
        <v>290.529360287386</v>
      </c>
      <c r="O108" s="14">
        <f t="shared" si="25"/>
        <v>0.0495465274889761</v>
      </c>
      <c r="P108" s="14" t="str">
        <f t="shared" si="16"/>
        <v>30.04,290.53</v>
      </c>
      <c r="Q108" s="14" t="str">
        <f t="shared" si="17"/>
        <v>294.4,14.92</v>
      </c>
      <c r="R108" s="31" t="str">
        <f t="shared" si="18"/>
        <v>30.04,290.53,14.92</v>
      </c>
    </row>
    <row r="109" ht="15.6" spans="1:18">
      <c r="A109" s="11">
        <v>101</v>
      </c>
      <c r="B109" s="12">
        <v>299</v>
      </c>
      <c r="C109" s="12">
        <f t="shared" si="13"/>
        <v>91.22</v>
      </c>
      <c r="D109" s="12">
        <v>306</v>
      </c>
      <c r="E109" s="13">
        <v>1.22</v>
      </c>
      <c r="F109" s="13">
        <v>4.33</v>
      </c>
      <c r="G109" s="14">
        <f t="shared" si="14"/>
        <v>0.83</v>
      </c>
      <c r="H109" s="14">
        <f t="shared" si="19"/>
        <v>297.398465835239</v>
      </c>
      <c r="I109" s="14">
        <f t="shared" si="20"/>
        <v>30.0768572451367</v>
      </c>
      <c r="J109" s="14">
        <f t="shared" si="21"/>
        <v>293.528303025673</v>
      </c>
      <c r="K109" s="14">
        <f t="shared" si="22"/>
        <v>14.9845568548828</v>
      </c>
      <c r="L109" s="14">
        <f t="shared" si="15"/>
        <v>16.4845568548828</v>
      </c>
      <c r="M109" s="14">
        <f t="shared" si="23"/>
        <v>-30.0768572451367</v>
      </c>
      <c r="N109" s="14">
        <f t="shared" si="24"/>
        <v>293.528303025673</v>
      </c>
      <c r="O109" s="14">
        <f t="shared" si="25"/>
        <v>0.0596254062727859</v>
      </c>
      <c r="P109" s="14" t="str">
        <f t="shared" si="16"/>
        <v>30.08,293.53</v>
      </c>
      <c r="Q109" s="14" t="str">
        <f t="shared" si="17"/>
        <v>297.4,14.98</v>
      </c>
      <c r="R109" s="31" t="str">
        <f t="shared" si="18"/>
        <v>30.08,293.53,14.98</v>
      </c>
    </row>
    <row r="110" ht="15.6" spans="1:18">
      <c r="A110" s="11">
        <v>102</v>
      </c>
      <c r="B110" s="12">
        <v>302</v>
      </c>
      <c r="C110" s="12">
        <f t="shared" si="13"/>
        <v>92</v>
      </c>
      <c r="D110" s="12">
        <v>309</v>
      </c>
      <c r="E110" s="13">
        <v>2</v>
      </c>
      <c r="F110" s="13">
        <v>4.14</v>
      </c>
      <c r="G110" s="14">
        <f t="shared" si="14"/>
        <v>0.64</v>
      </c>
      <c r="H110" s="14">
        <f t="shared" si="19"/>
        <v>300.39728151495</v>
      </c>
      <c r="I110" s="14">
        <f t="shared" si="20"/>
        <v>30.1153255073922</v>
      </c>
      <c r="J110" s="14">
        <f t="shared" si="21"/>
        <v>296.526871963296</v>
      </c>
      <c r="K110" s="14">
        <f t="shared" si="22"/>
        <v>15.0688451644074</v>
      </c>
      <c r="L110" s="14">
        <f t="shared" si="15"/>
        <v>16.5688451644074</v>
      </c>
      <c r="M110" s="14">
        <f t="shared" si="23"/>
        <v>-30.1153255073922</v>
      </c>
      <c r="N110" s="14">
        <f t="shared" si="24"/>
        <v>296.526871963296</v>
      </c>
      <c r="O110" s="14">
        <f t="shared" si="25"/>
        <v>0.267596492367126</v>
      </c>
      <c r="P110" s="14" t="str">
        <f t="shared" si="16"/>
        <v>30.12,296.53</v>
      </c>
      <c r="Q110" s="14" t="str">
        <f t="shared" si="17"/>
        <v>300.4,15.07</v>
      </c>
      <c r="R110" s="31" t="str">
        <f t="shared" si="18"/>
        <v>30.12,296.53,15.07</v>
      </c>
    </row>
    <row r="111" ht="15.6" spans="1:18">
      <c r="A111" s="11">
        <v>103</v>
      </c>
      <c r="B111" s="12">
        <v>305</v>
      </c>
      <c r="C111" s="12">
        <f t="shared" si="13"/>
        <v>91.14</v>
      </c>
      <c r="D111" s="12">
        <v>312</v>
      </c>
      <c r="E111" s="13">
        <v>1.14</v>
      </c>
      <c r="F111" s="13">
        <v>3.57</v>
      </c>
      <c r="G111" s="14">
        <f t="shared" si="14"/>
        <v>0.0699999999999998</v>
      </c>
      <c r="H111" s="14">
        <f t="shared" si="19"/>
        <v>303.396155308203</v>
      </c>
      <c r="I111" s="14">
        <f t="shared" si="20"/>
        <v>30.1339061671564</v>
      </c>
      <c r="J111" s="14">
        <f t="shared" si="21"/>
        <v>299.525688194235</v>
      </c>
      <c r="K111" s="14">
        <f t="shared" si="22"/>
        <v>15.1510398852706</v>
      </c>
      <c r="L111" s="14">
        <f t="shared" si="15"/>
        <v>16.6510398852706</v>
      </c>
      <c r="M111" s="14">
        <f t="shared" si="23"/>
        <v>-30.1339061671564</v>
      </c>
      <c r="N111" s="14">
        <f t="shared" si="24"/>
        <v>299.525688194235</v>
      </c>
      <c r="O111" s="14">
        <f t="shared" si="25"/>
        <v>0.34387497701307</v>
      </c>
      <c r="P111" s="14" t="str">
        <f t="shared" si="16"/>
        <v>30.13,299.53</v>
      </c>
      <c r="Q111" s="14" t="str">
        <f t="shared" si="17"/>
        <v>303.4,15.15</v>
      </c>
      <c r="R111" s="31" t="str">
        <f t="shared" si="18"/>
        <v>30.13,299.53,15.15</v>
      </c>
    </row>
    <row r="112" ht="15.6" spans="1:18">
      <c r="A112" s="11">
        <v>104</v>
      </c>
      <c r="B112" s="12">
        <v>308</v>
      </c>
      <c r="C112" s="12">
        <f t="shared" si="13"/>
        <v>90.68</v>
      </c>
      <c r="D112" s="12">
        <v>315</v>
      </c>
      <c r="E112" s="13">
        <v>0.68</v>
      </c>
      <c r="F112" s="13">
        <v>3.64</v>
      </c>
      <c r="G112" s="14">
        <f t="shared" si="14"/>
        <v>0.14</v>
      </c>
      <c r="H112" s="14">
        <f t="shared" si="19"/>
        <v>306.395776935629</v>
      </c>
      <c r="I112" s="14">
        <f t="shared" si="20"/>
        <v>30.1394032578193</v>
      </c>
      <c r="J112" s="14">
        <f t="shared" si="21"/>
        <v>302.525304784687</v>
      </c>
      <c r="K112" s="14">
        <f t="shared" si="22"/>
        <v>15.1986853706662</v>
      </c>
      <c r="L112" s="14">
        <f t="shared" si="15"/>
        <v>16.6986853706662</v>
      </c>
      <c r="M112" s="14">
        <f t="shared" si="23"/>
        <v>-30.1394032578193</v>
      </c>
      <c r="N112" s="14">
        <f t="shared" si="24"/>
        <v>302.525304784687</v>
      </c>
      <c r="O112" s="14">
        <f t="shared" si="25"/>
        <v>0.155098082847333</v>
      </c>
      <c r="P112" s="14" t="str">
        <f t="shared" si="16"/>
        <v>30.14,302.53</v>
      </c>
      <c r="Q112" s="14" t="str">
        <f t="shared" si="17"/>
        <v>306.4,15.2</v>
      </c>
      <c r="R112" s="31" t="str">
        <f t="shared" si="18"/>
        <v>30.14,302.53,15.2</v>
      </c>
    </row>
    <row r="113" ht="15.6" spans="1:18">
      <c r="A113" s="11">
        <v>105</v>
      </c>
      <c r="B113" s="12">
        <v>311</v>
      </c>
      <c r="C113" s="12">
        <f t="shared" si="13"/>
        <v>90.81</v>
      </c>
      <c r="D113" s="12">
        <v>318</v>
      </c>
      <c r="E113" s="13">
        <v>0.81</v>
      </c>
      <c r="F113" s="13">
        <v>3.11</v>
      </c>
      <c r="G113" s="14">
        <f t="shared" si="14"/>
        <v>-0.39</v>
      </c>
      <c r="H113" s="14">
        <f t="shared" si="19"/>
        <v>309.395523333777</v>
      </c>
      <c r="I113" s="14">
        <f t="shared" si="20"/>
        <v>30.1328588315893</v>
      </c>
      <c r="J113" s="14">
        <f t="shared" si="21"/>
        <v>305.525044043971</v>
      </c>
      <c r="K113" s="14">
        <f t="shared" si="22"/>
        <v>15.2376923802722</v>
      </c>
      <c r="L113" s="14">
        <f t="shared" si="15"/>
        <v>16.7376923802722</v>
      </c>
      <c r="M113" s="14">
        <f t="shared" si="23"/>
        <v>-30.1328588315893</v>
      </c>
      <c r="N113" s="14">
        <f t="shared" si="24"/>
        <v>305.525044043971</v>
      </c>
      <c r="O113" s="14">
        <f t="shared" si="25"/>
        <v>0.181888974055538</v>
      </c>
      <c r="P113" s="14" t="str">
        <f t="shared" si="16"/>
        <v>30.13,305.53</v>
      </c>
      <c r="Q113" s="14" t="str">
        <f t="shared" si="17"/>
        <v>309.4,15.24</v>
      </c>
      <c r="R113" s="31" t="str">
        <f t="shared" si="18"/>
        <v>30.13,305.53,15.24</v>
      </c>
    </row>
    <row r="114" ht="15.6" spans="1:18">
      <c r="A114" s="11">
        <v>106</v>
      </c>
      <c r="B114" s="12">
        <v>314</v>
      </c>
      <c r="C114" s="12">
        <f t="shared" si="13"/>
        <v>89.89</v>
      </c>
      <c r="D114" s="12">
        <v>321</v>
      </c>
      <c r="E114" s="13">
        <v>-0.11</v>
      </c>
      <c r="F114" s="13">
        <v>3.65</v>
      </c>
      <c r="G114" s="14">
        <f t="shared" si="14"/>
        <v>0.15</v>
      </c>
      <c r="H114" s="14">
        <f t="shared" si="19"/>
        <v>312.3954673605</v>
      </c>
      <c r="I114" s="14">
        <f t="shared" si="20"/>
        <v>30.1265757681057</v>
      </c>
      <c r="J114" s="14">
        <f t="shared" si="21"/>
        <v>308.524981491083</v>
      </c>
      <c r="K114" s="14">
        <f t="shared" si="22"/>
        <v>15.2560182234443</v>
      </c>
      <c r="L114" s="14">
        <f t="shared" si="15"/>
        <v>16.7560182234443</v>
      </c>
      <c r="M114" s="14">
        <f t="shared" si="23"/>
        <v>-30.1265757681057</v>
      </c>
      <c r="N114" s="14">
        <f t="shared" si="24"/>
        <v>308.524981491083</v>
      </c>
      <c r="O114" s="14">
        <f t="shared" si="25"/>
        <v>0.355587597128948</v>
      </c>
      <c r="P114" s="14" t="str">
        <f t="shared" si="16"/>
        <v>30.13,308.52</v>
      </c>
      <c r="Q114" s="14" t="str">
        <f t="shared" si="17"/>
        <v>312.4,15.26</v>
      </c>
      <c r="R114" s="31" t="str">
        <f t="shared" si="18"/>
        <v>30.13,308.52,15.26</v>
      </c>
    </row>
    <row r="115" ht="15.6" spans="1:18">
      <c r="A115" s="11">
        <v>107</v>
      </c>
      <c r="B115" s="12">
        <v>317</v>
      </c>
      <c r="C115" s="12">
        <f t="shared" si="13"/>
        <v>89.65</v>
      </c>
      <c r="D115" s="12">
        <v>324</v>
      </c>
      <c r="E115" s="13">
        <v>-0.35</v>
      </c>
      <c r="F115" s="13">
        <v>2.65</v>
      </c>
      <c r="G115" s="14">
        <f t="shared" si="14"/>
        <v>-0.85</v>
      </c>
      <c r="H115" s="14">
        <f t="shared" si="19"/>
        <v>315.39544318914</v>
      </c>
      <c r="I115" s="14">
        <f t="shared" si="20"/>
        <v>30.1082500725872</v>
      </c>
      <c r="J115" s="14">
        <f t="shared" si="21"/>
        <v>311.524901346897</v>
      </c>
      <c r="K115" s="14">
        <f t="shared" si="22"/>
        <v>15.2439754839489</v>
      </c>
      <c r="L115" s="14">
        <f t="shared" si="15"/>
        <v>16.7439754839489</v>
      </c>
      <c r="M115" s="14">
        <f t="shared" si="23"/>
        <v>-30.1082500725872</v>
      </c>
      <c r="N115" s="14">
        <f t="shared" si="24"/>
        <v>311.524901346897</v>
      </c>
      <c r="O115" s="14">
        <f t="shared" si="25"/>
        <v>0.342796088269654</v>
      </c>
      <c r="P115" s="14" t="str">
        <f t="shared" si="16"/>
        <v>30.11,311.52</v>
      </c>
      <c r="Q115" s="14" t="str">
        <f t="shared" si="17"/>
        <v>315.4,15.24</v>
      </c>
      <c r="R115" s="31" t="str">
        <f t="shared" si="18"/>
        <v>30.11,311.52,15.24</v>
      </c>
    </row>
    <row r="116" ht="15.6" spans="1:18">
      <c r="A116" s="11">
        <v>108</v>
      </c>
      <c r="B116" s="12">
        <v>320</v>
      </c>
      <c r="C116" s="12">
        <f t="shared" si="13"/>
        <v>89.32</v>
      </c>
      <c r="D116" s="12">
        <v>327</v>
      </c>
      <c r="E116" s="13">
        <v>-0.68</v>
      </c>
      <c r="F116" s="13">
        <v>2.88</v>
      </c>
      <c r="G116" s="14">
        <f t="shared" si="14"/>
        <v>-0.62</v>
      </c>
      <c r="H116" s="14">
        <f t="shared" si="19"/>
        <v>318.395322001724</v>
      </c>
      <c r="I116" s="14">
        <f t="shared" si="20"/>
        <v>30.0697681726565</v>
      </c>
      <c r="J116" s="14">
        <f t="shared" si="21"/>
        <v>314.524533329918</v>
      </c>
      <c r="K116" s="14">
        <f t="shared" si="22"/>
        <v>15.217010510102</v>
      </c>
      <c r="L116" s="14">
        <f t="shared" si="15"/>
        <v>16.717010510102</v>
      </c>
      <c r="M116" s="14">
        <f t="shared" si="23"/>
        <v>-30.0697681726565</v>
      </c>
      <c r="N116" s="14">
        <f t="shared" si="24"/>
        <v>314.524533329918</v>
      </c>
      <c r="O116" s="14">
        <f t="shared" si="25"/>
        <v>0.134079404310736</v>
      </c>
      <c r="P116" s="14" t="str">
        <f t="shared" si="16"/>
        <v>30.07,314.52</v>
      </c>
      <c r="Q116" s="14" t="str">
        <f t="shared" si="17"/>
        <v>318.4,15.22</v>
      </c>
      <c r="R116" s="31" t="str">
        <f t="shared" si="18"/>
        <v>30.07,314.52,15.22</v>
      </c>
    </row>
    <row r="117" ht="15.6" spans="1:18">
      <c r="A117" s="11">
        <v>109</v>
      </c>
      <c r="B117" s="12">
        <v>323</v>
      </c>
      <c r="C117" s="12">
        <f t="shared" si="13"/>
        <v>88.65</v>
      </c>
      <c r="D117" s="12">
        <v>330</v>
      </c>
      <c r="E117" s="13">
        <v>-1.35</v>
      </c>
      <c r="F117" s="13">
        <v>2.15</v>
      </c>
      <c r="G117" s="14">
        <f t="shared" si="14"/>
        <v>-1.35</v>
      </c>
      <c r="H117" s="14">
        <f t="shared" si="19"/>
        <v>321.394851277312</v>
      </c>
      <c r="I117" s="14">
        <f t="shared" si="20"/>
        <v>30.0182043257302</v>
      </c>
      <c r="J117" s="14">
        <f t="shared" si="21"/>
        <v>317.52361936483</v>
      </c>
      <c r="K117" s="14">
        <f t="shared" si="22"/>
        <v>15.16386801405</v>
      </c>
      <c r="L117" s="14">
        <f t="shared" si="15"/>
        <v>16.66386801405</v>
      </c>
      <c r="M117" s="14">
        <f t="shared" si="23"/>
        <v>-30.0182043257302</v>
      </c>
      <c r="N117" s="14">
        <f t="shared" si="24"/>
        <v>317.52361936483</v>
      </c>
      <c r="O117" s="14">
        <f t="shared" si="25"/>
        <v>0.33025692049375</v>
      </c>
      <c r="P117" s="14" t="str">
        <f t="shared" si="16"/>
        <v>30.02,317.52</v>
      </c>
      <c r="Q117" s="14" t="str">
        <f t="shared" si="17"/>
        <v>321.39,15.16</v>
      </c>
      <c r="R117" s="31" t="str">
        <f t="shared" si="18"/>
        <v>30.02,317.52,15.16</v>
      </c>
    </row>
    <row r="118" ht="15.6" spans="1:18">
      <c r="A118" s="11">
        <v>110</v>
      </c>
      <c r="B118" s="12">
        <v>326</v>
      </c>
      <c r="C118" s="12">
        <f t="shared" si="13"/>
        <v>88.16</v>
      </c>
      <c r="D118" s="12">
        <v>333</v>
      </c>
      <c r="E118" s="13">
        <v>-1.84</v>
      </c>
      <c r="F118" s="13">
        <v>2.68</v>
      </c>
      <c r="G118" s="14">
        <f t="shared" si="14"/>
        <v>-0.82</v>
      </c>
      <c r="H118" s="14">
        <f t="shared" si="19"/>
        <v>324.393688920882</v>
      </c>
      <c r="I118" s="14">
        <f t="shared" si="20"/>
        <v>29.9614192639416</v>
      </c>
      <c r="J118" s="14">
        <f t="shared" si="21"/>
        <v>320.521919328018</v>
      </c>
      <c r="K118" s="14">
        <f t="shared" si="22"/>
        <v>15.080364795514</v>
      </c>
      <c r="L118" s="14">
        <f t="shared" si="15"/>
        <v>16.580364795514</v>
      </c>
      <c r="M118" s="14">
        <f t="shared" si="23"/>
        <v>-29.9614192639416</v>
      </c>
      <c r="N118" s="14">
        <f t="shared" si="24"/>
        <v>320.521919328018</v>
      </c>
      <c r="O118" s="14">
        <f t="shared" si="25"/>
        <v>0.240550446382342</v>
      </c>
      <c r="P118" s="14" t="str">
        <f t="shared" si="16"/>
        <v>29.96,320.52</v>
      </c>
      <c r="Q118" s="14" t="str">
        <f t="shared" si="17"/>
        <v>324.39,15.08</v>
      </c>
      <c r="R118" s="31" t="str">
        <f t="shared" si="18"/>
        <v>29.96,320.52,15.08</v>
      </c>
    </row>
    <row r="119" ht="15.6" spans="1:18">
      <c r="A119" s="11">
        <v>111</v>
      </c>
      <c r="B119" s="12">
        <v>329</v>
      </c>
      <c r="C119" s="12">
        <f t="shared" si="13"/>
        <v>88.89</v>
      </c>
      <c r="D119" s="12">
        <v>336</v>
      </c>
      <c r="E119" s="13">
        <v>-1.11</v>
      </c>
      <c r="F119" s="13">
        <v>2.86</v>
      </c>
      <c r="G119" s="14">
        <f t="shared" si="14"/>
        <v>-0.64</v>
      </c>
      <c r="H119" s="14">
        <f t="shared" si="19"/>
        <v>327.392694875872</v>
      </c>
      <c r="I119" s="14">
        <f t="shared" si="20"/>
        <v>29.9232102521229</v>
      </c>
      <c r="J119" s="14">
        <f t="shared" si="21"/>
        <v>323.520681871048</v>
      </c>
      <c r="K119" s="14">
        <f t="shared" si="22"/>
        <v>15.0031425064029</v>
      </c>
      <c r="L119" s="14">
        <f t="shared" si="15"/>
        <v>16.5031425064029</v>
      </c>
      <c r="M119" s="14">
        <f t="shared" si="23"/>
        <v>-29.9232102521229</v>
      </c>
      <c r="N119" s="14">
        <f t="shared" si="24"/>
        <v>323.520681871048</v>
      </c>
      <c r="O119" s="14">
        <f t="shared" si="25"/>
        <v>0.250616593689262</v>
      </c>
      <c r="P119" s="14" t="str">
        <f t="shared" si="16"/>
        <v>29.92,323.52</v>
      </c>
      <c r="Q119" s="14" t="str">
        <f t="shared" si="17"/>
        <v>327.39,15</v>
      </c>
      <c r="R119" s="31" t="str">
        <f t="shared" si="18"/>
        <v>29.92,323.52,15</v>
      </c>
    </row>
    <row r="120" ht="15.6" spans="1:18">
      <c r="A120" s="11">
        <v>112</v>
      </c>
      <c r="B120" s="12">
        <v>332</v>
      </c>
      <c r="C120" s="12">
        <f t="shared" si="13"/>
        <v>89.8</v>
      </c>
      <c r="D120" s="12">
        <v>339</v>
      </c>
      <c r="E120" s="13">
        <v>-0.2</v>
      </c>
      <c r="F120" s="13">
        <v>2.15</v>
      </c>
      <c r="G120" s="14">
        <f t="shared" si="14"/>
        <v>-1.35</v>
      </c>
      <c r="H120" s="14">
        <f t="shared" si="19"/>
        <v>330.392498845274</v>
      </c>
      <c r="I120" s="14">
        <f t="shared" si="20"/>
        <v>29.8711181966259</v>
      </c>
      <c r="J120" s="14">
        <f t="shared" si="21"/>
        <v>326.520033513086</v>
      </c>
      <c r="K120" s="14">
        <f t="shared" si="22"/>
        <v>14.9688475336056</v>
      </c>
      <c r="L120" s="14">
        <f t="shared" si="15"/>
        <v>16.4688475336056</v>
      </c>
      <c r="M120" s="14">
        <f t="shared" si="23"/>
        <v>-29.8711181966259</v>
      </c>
      <c r="N120" s="14">
        <f t="shared" si="24"/>
        <v>326.520033513086</v>
      </c>
      <c r="O120" s="14">
        <f t="shared" si="25"/>
        <v>0.384725518658299</v>
      </c>
      <c r="P120" s="14" t="str">
        <f t="shared" si="16"/>
        <v>29.87,326.52</v>
      </c>
      <c r="Q120" s="14" t="str">
        <f t="shared" si="17"/>
        <v>330.39,14.97</v>
      </c>
      <c r="R120" s="31" t="str">
        <f t="shared" si="18"/>
        <v>29.87,326.52,14.97</v>
      </c>
    </row>
    <row r="121" ht="15.6" spans="1:18">
      <c r="A121" s="11">
        <v>113</v>
      </c>
      <c r="B121" s="12">
        <v>335</v>
      </c>
      <c r="C121" s="12">
        <f t="shared" si="13"/>
        <v>89.35</v>
      </c>
      <c r="D121" s="12">
        <v>342</v>
      </c>
      <c r="E121" s="13">
        <v>-0.65</v>
      </c>
      <c r="F121" s="13">
        <v>2.46</v>
      </c>
      <c r="G121" s="14">
        <f t="shared" si="14"/>
        <v>-1.04</v>
      </c>
      <c r="H121" s="14">
        <f t="shared" si="19"/>
        <v>333.392416313371</v>
      </c>
      <c r="I121" s="14">
        <f t="shared" si="20"/>
        <v>29.8085544004027</v>
      </c>
      <c r="J121" s="14">
        <f t="shared" si="21"/>
        <v>329.519298520849</v>
      </c>
      <c r="K121" s="14">
        <f t="shared" si="22"/>
        <v>14.9465947897073</v>
      </c>
      <c r="L121" s="14">
        <f t="shared" si="15"/>
        <v>16.4465947897073</v>
      </c>
      <c r="M121" s="14">
        <f t="shared" si="23"/>
        <v>-29.8085544004027</v>
      </c>
      <c r="N121" s="14">
        <f t="shared" si="24"/>
        <v>329.519298520849</v>
      </c>
      <c r="O121" s="14">
        <f t="shared" si="25"/>
        <v>0.182145917838078</v>
      </c>
      <c r="P121" s="14" t="str">
        <f t="shared" si="16"/>
        <v>29.81,329.52</v>
      </c>
      <c r="Q121" s="14" t="str">
        <f t="shared" si="17"/>
        <v>333.39,14.95</v>
      </c>
      <c r="R121" s="31" t="str">
        <f t="shared" si="18"/>
        <v>29.81,329.52,14.95</v>
      </c>
    </row>
    <row r="122" ht="15.6" spans="1:18">
      <c r="A122" s="11">
        <v>114</v>
      </c>
      <c r="B122" s="12">
        <v>338</v>
      </c>
      <c r="C122" s="12">
        <f t="shared" si="13"/>
        <v>90.33</v>
      </c>
      <c r="D122" s="12">
        <v>345</v>
      </c>
      <c r="E122" s="13">
        <v>0.33</v>
      </c>
      <c r="F122" s="13">
        <v>2.01</v>
      </c>
      <c r="G122" s="14">
        <f t="shared" si="14"/>
        <v>-1.49</v>
      </c>
      <c r="H122" s="14">
        <f t="shared" si="19"/>
        <v>336.392404616069</v>
      </c>
      <c r="I122" s="14">
        <f t="shared" si="20"/>
        <v>29.7423247945277</v>
      </c>
      <c r="J122" s="14">
        <f t="shared" si="21"/>
        <v>332.518555671484</v>
      </c>
      <c r="K122" s="14">
        <f t="shared" si="22"/>
        <v>14.9382172201861</v>
      </c>
      <c r="L122" s="14">
        <f t="shared" si="15"/>
        <v>16.4382172201861</v>
      </c>
      <c r="M122" s="14">
        <f t="shared" si="23"/>
        <v>-29.7423247945277</v>
      </c>
      <c r="N122" s="14">
        <f t="shared" si="24"/>
        <v>332.518555671484</v>
      </c>
      <c r="O122" s="14">
        <f t="shared" si="25"/>
        <v>0.359458463663543</v>
      </c>
      <c r="P122" s="14" t="str">
        <f t="shared" si="16"/>
        <v>29.74,332.52</v>
      </c>
      <c r="Q122" s="14" t="str">
        <f t="shared" si="17"/>
        <v>336.39,14.94</v>
      </c>
      <c r="R122" s="31" t="str">
        <f t="shared" si="18"/>
        <v>29.74,332.52,14.94</v>
      </c>
    </row>
    <row r="123" ht="15.6" spans="1:18">
      <c r="A123" s="11">
        <v>115</v>
      </c>
      <c r="B123" s="12">
        <v>341</v>
      </c>
      <c r="C123" s="12">
        <f t="shared" si="13"/>
        <v>90.64</v>
      </c>
      <c r="D123" s="12">
        <v>348</v>
      </c>
      <c r="E123" s="13">
        <v>0.64</v>
      </c>
      <c r="F123" s="13">
        <v>1.54</v>
      </c>
      <c r="G123" s="14">
        <f t="shared" si="14"/>
        <v>-1.96</v>
      </c>
      <c r="H123" s="14">
        <f t="shared" si="19"/>
        <v>339.392297136262</v>
      </c>
      <c r="I123" s="14">
        <f t="shared" si="20"/>
        <v>29.6520208853869</v>
      </c>
      <c r="J123" s="14">
        <f t="shared" si="21"/>
        <v>335.517088702268</v>
      </c>
      <c r="K123" s="14">
        <f t="shared" si="22"/>
        <v>14.9636114575352</v>
      </c>
      <c r="L123" s="14">
        <f t="shared" si="15"/>
        <v>16.4636114575352</v>
      </c>
      <c r="M123" s="14">
        <f t="shared" si="23"/>
        <v>-29.6520208853869</v>
      </c>
      <c r="N123" s="14">
        <f t="shared" si="24"/>
        <v>335.517088702268</v>
      </c>
      <c r="O123" s="14">
        <f t="shared" si="25"/>
        <v>0.187670998482866</v>
      </c>
      <c r="P123" s="14" t="str">
        <f t="shared" si="16"/>
        <v>29.65,335.52</v>
      </c>
      <c r="Q123" s="14" t="str">
        <f t="shared" si="17"/>
        <v>339.39,14.96</v>
      </c>
      <c r="R123" s="31" t="str">
        <f t="shared" si="18"/>
        <v>29.65,335.52,14.96</v>
      </c>
    </row>
    <row r="124" ht="15.6" spans="1:18">
      <c r="A124" s="11">
        <v>116</v>
      </c>
      <c r="B124" s="12">
        <v>344</v>
      </c>
      <c r="C124" s="12">
        <f t="shared" si="13"/>
        <v>90.72</v>
      </c>
      <c r="D124" s="12">
        <v>351</v>
      </c>
      <c r="E124" s="13">
        <v>0.72</v>
      </c>
      <c r="F124" s="13">
        <v>0.98</v>
      </c>
      <c r="G124" s="14">
        <f t="shared" si="14"/>
        <v>-2.52</v>
      </c>
      <c r="H124" s="14">
        <f t="shared" si="19"/>
        <v>342.3920858561</v>
      </c>
      <c r="I124" s="14">
        <f t="shared" si="20"/>
        <v>29.534772892974</v>
      </c>
      <c r="J124" s="14">
        <f t="shared" si="21"/>
        <v>338.514585203006</v>
      </c>
      <c r="K124" s="14">
        <f t="shared" si="22"/>
        <v>14.9992153384308</v>
      </c>
      <c r="L124" s="14">
        <f t="shared" si="15"/>
        <v>16.4992153384308</v>
      </c>
      <c r="M124" s="14">
        <f t="shared" si="23"/>
        <v>-29.534772892974</v>
      </c>
      <c r="N124" s="14">
        <f t="shared" si="24"/>
        <v>338.514585203006</v>
      </c>
      <c r="O124" s="14">
        <f t="shared" si="25"/>
        <v>0.188548779012071</v>
      </c>
      <c r="P124" s="14" t="str">
        <f t="shared" si="16"/>
        <v>29.53,338.51</v>
      </c>
      <c r="Q124" s="14" t="str">
        <f t="shared" si="17"/>
        <v>342.39,15</v>
      </c>
      <c r="R124" s="31" t="str">
        <f t="shared" si="18"/>
        <v>29.53,338.51,15</v>
      </c>
    </row>
    <row r="125" ht="15.6" spans="1:18">
      <c r="A125" s="11">
        <v>117</v>
      </c>
      <c r="B125" s="12">
        <v>347</v>
      </c>
      <c r="C125" s="12">
        <f t="shared" si="13"/>
        <v>90.19</v>
      </c>
      <c r="D125" s="12">
        <v>354</v>
      </c>
      <c r="E125" s="13">
        <v>0.19</v>
      </c>
      <c r="F125" s="13">
        <v>0.52</v>
      </c>
      <c r="G125" s="14">
        <f t="shared" si="14"/>
        <v>-2.98</v>
      </c>
      <c r="H125" s="14">
        <f t="shared" si="19"/>
        <v>345.391991261465</v>
      </c>
      <c r="I125" s="14">
        <f t="shared" si="20"/>
        <v>29.3908430458835</v>
      </c>
      <c r="J125" s="14">
        <f t="shared" si="21"/>
        <v>341.511035876763</v>
      </c>
      <c r="K125" s="14">
        <f t="shared" si="22"/>
        <v>15.0230388323202</v>
      </c>
      <c r="L125" s="14">
        <f t="shared" si="15"/>
        <v>16.5230388323202</v>
      </c>
      <c r="M125" s="14">
        <f t="shared" si="23"/>
        <v>-29.3908430458835</v>
      </c>
      <c r="N125" s="14">
        <f t="shared" si="24"/>
        <v>341.511035876763</v>
      </c>
      <c r="O125" s="14">
        <f t="shared" si="25"/>
        <v>0.233924286650371</v>
      </c>
      <c r="P125" s="14" t="str">
        <f t="shared" si="16"/>
        <v>29.39,341.51</v>
      </c>
      <c r="Q125" s="14" t="str">
        <f t="shared" si="17"/>
        <v>345.39,15.02</v>
      </c>
      <c r="R125" s="31" t="str">
        <f t="shared" si="18"/>
        <v>29.39,341.51,15.02</v>
      </c>
    </row>
    <row r="126" ht="15.6" spans="1:18">
      <c r="A126" s="11">
        <v>118</v>
      </c>
      <c r="B126" s="12">
        <v>350</v>
      </c>
      <c r="C126" s="12">
        <f t="shared" si="13"/>
        <v>90.68</v>
      </c>
      <c r="D126" s="12">
        <v>357</v>
      </c>
      <c r="E126" s="13">
        <v>0.68</v>
      </c>
      <c r="F126" s="13">
        <v>359.63</v>
      </c>
      <c r="G126" s="14">
        <f t="shared" si="14"/>
        <v>356.13</v>
      </c>
      <c r="H126" s="14">
        <f t="shared" si="19"/>
        <v>348.391904800033</v>
      </c>
      <c r="I126" s="14">
        <f t="shared" si="20"/>
        <v>29.2116224146276</v>
      </c>
      <c r="J126" s="14">
        <f t="shared" si="21"/>
        <v>344.5055911366</v>
      </c>
      <c r="K126" s="14">
        <f t="shared" si="22"/>
        <v>15.045815160248</v>
      </c>
      <c r="L126" s="14">
        <f t="shared" si="15"/>
        <v>16.545815160248</v>
      </c>
      <c r="M126" s="14">
        <f t="shared" si="23"/>
        <v>-29.5700636771395</v>
      </c>
      <c r="N126" s="14">
        <f t="shared" si="24"/>
        <v>338.516480616926</v>
      </c>
      <c r="O126" s="14">
        <f t="shared" si="25"/>
        <v>0.338649198039972</v>
      </c>
      <c r="P126" s="14" t="str">
        <f t="shared" si="16"/>
        <v>29.21,344.51</v>
      </c>
      <c r="Q126" s="14" t="str">
        <f t="shared" si="17"/>
        <v>348.39,15.05</v>
      </c>
      <c r="R126" s="31" t="str">
        <f t="shared" si="18"/>
        <v>29.21,344.51,15.05</v>
      </c>
    </row>
  </sheetData>
  <mergeCells count="38">
    <mergeCell ref="A1:R1"/>
    <mergeCell ref="A2:G2"/>
    <mergeCell ref="H2:I2"/>
    <mergeCell ref="J2:K2"/>
    <mergeCell ref="L2:O2"/>
    <mergeCell ref="P2:R2"/>
    <mergeCell ref="A3:G3"/>
    <mergeCell ref="H3:I3"/>
    <mergeCell ref="J3:K3"/>
    <mergeCell ref="L3:O3"/>
    <mergeCell ref="P3:R3"/>
    <mergeCell ref="A4:C4"/>
    <mergeCell ref="E4:G4"/>
    <mergeCell ref="P4:R4"/>
    <mergeCell ref="N6:O6"/>
    <mergeCell ref="A7:A8"/>
    <mergeCell ref="B7:B8"/>
    <mergeCell ref="C7:C8"/>
    <mergeCell ref="D7:D8"/>
    <mergeCell ref="E7:E8"/>
    <mergeCell ref="F7:F8"/>
    <mergeCell ref="G7:G8"/>
    <mergeCell ref="H4:H5"/>
    <mergeCell ref="H7:H8"/>
    <mergeCell ref="I4:I5"/>
    <mergeCell ref="I7:I8"/>
    <mergeCell ref="J4:J5"/>
    <mergeCell ref="J7:J8"/>
    <mergeCell ref="K4:K5"/>
    <mergeCell ref="K7:K8"/>
    <mergeCell ref="L4:L5"/>
    <mergeCell ref="L7:L8"/>
    <mergeCell ref="M4:M5"/>
    <mergeCell ref="M7:M8"/>
    <mergeCell ref="N7:N8"/>
    <mergeCell ref="O7:O8"/>
    <mergeCell ref="N4:O5"/>
    <mergeCell ref="P5:R6"/>
  </mergeCells>
  <pageMargins left="0.7" right="0.7" top="0.75" bottom="0.75" header="0.3" footer="0.3"/>
  <pageSetup paperSize="9" scale="4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1号孔 实钻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liu</dc:creator>
  <cp:lastModifiedBy>zq</cp:lastModifiedBy>
  <dcterms:created xsi:type="dcterms:W3CDTF">2023-05-12T11:15:00Z</dcterms:created>
  <dcterms:modified xsi:type="dcterms:W3CDTF">2025-05-13T16:35:52Z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73353D718FAB43689FF3B2F86178A9D3_13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